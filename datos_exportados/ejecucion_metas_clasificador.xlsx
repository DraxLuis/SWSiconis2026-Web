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gistr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6" x14ac:knownFonts="1">
    <font>
      <sz val="11"/>
      <name val="Calibri"/>
    </font>
    <font>
      <sz val="11"/>
      <name val="Calibri"/>
    </font>
    <font>
      <sz val="11"/>
      <name val="Arial Narrow"/>
      <color rgb="000000"/>
    </font>
    <font>
      <sz val="11"/>
      <name val="Arial Narrow"/>
      <color rgb="000000"/>
    </font>
    <font>
      <sz val="14"/>
      <name val="Arial Narrow"/>
      <b/>
      <color rgb="FFFFFF"/>
    </font>
    <font>
      <sz val="10"/>
      <name val="Arial Narrow"/>
      <color rgb="000000"/>
    </font>
    <font>
      <sz val="10"/>
      <name val="Arial Narrow"/>
      <color rgb="000000"/>
    </font>
    <font>
      <sz val="10"/>
      <name val="Arial Narrow"/>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b/>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0"/>
      <name val="Arial Narrow"/>
      <color rgb="000000"/>
    </font>
    <font>
      <sz val="11"/>
      <name val="Arial Narrow"/>
      <b/>
      <color rgb="000000"/>
    </font>
    <font>
      <sz val="10"/>
      <name val="Arial Narrow"/>
      <color rgb="000000"/>
    </font>
    <font>
      <sz val="10"/>
      <name val="Arial Narrow"/>
      <color rgb="000000"/>
    </font>
    <font>
      <sz val="10"/>
      <name val="Arial Narrow"/>
      <color rgb="000000"/>
    </font>
  </fonts>
  <fills count="3">
    <fill>
      <patternFill patternType="none">
        <bgColor/>
      </patternFill>
    </fill>
    <fill>
      <patternFill patternType="gray125">
        <bgColor/>
      </patternFill>
    </fill>
    <fill>
      <patternFill patternType="solid">
        <fgColor rgb="FF44546A"/>
        <bgColor/>
      </patternFill>
    </fill>
  </fills>
  <borders count="35">
    <border>
      <left/>
      <right/>
      <top/>
      <bottom/>
      <diagonal/>
    </border>
    <border>
      <left/>
      <right/>
      <top/>
      <bottom/>
      <diagonal/>
    </border>
    <border>
      <left style="medium">
        <color rgb="000000"/>
      </left>
      <right/>
      <top style="medium">
        <color rgb="000000"/>
      </top>
      <bottom style="medium">
        <color rgb="000000"/>
      </bottom>
      <diagonal/>
    </border>
    <border>
      <left/>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top style="medium">
        <color rgb="000000"/>
      </top>
      <bottom style="hair">
        <color rgb="A0A0A0"/>
      </bottom>
      <diagonal/>
    </border>
    <border>
      <left/>
      <right/>
      <top style="medium">
        <color rgb="000000"/>
      </top>
      <bottom style="hair">
        <color rgb="A0A0A0"/>
      </bottom>
      <diagonal/>
    </border>
    <border>
      <left/>
      <right/>
      <top style="medium">
        <color rgb="000000"/>
      </top>
      <bottom style="hair">
        <color rgb="A0A0A0"/>
      </bottom>
      <diagonal/>
    </border>
    <border>
      <left/>
      <right/>
      <top style="medium">
        <color rgb="000000"/>
      </top>
      <bottom style="hair">
        <color rgb="A0A0A0"/>
      </bottom>
      <diagonal/>
    </border>
    <border>
      <left/>
      <right/>
      <top style="medium">
        <color rgb="000000"/>
      </top>
      <bottom style="hair">
        <color rgb="A0A0A0"/>
      </bottom>
      <diagonal/>
    </border>
    <border>
      <left/>
      <right style="medium">
        <color rgb="000000"/>
      </right>
      <top style="medium">
        <color rgb="000000"/>
      </top>
      <bottom style="hair">
        <color rgb="A0A0A0"/>
      </bottom>
      <diagonal/>
    </border>
    <border>
      <left style="medium">
        <color rgb="000000"/>
      </left>
      <right/>
      <top/>
      <bottom style="hair">
        <color rgb="A0A0A0"/>
      </bottom>
      <diagonal/>
    </border>
    <border>
      <left/>
      <right/>
      <top/>
      <bottom style="hair">
        <color rgb="A0A0A0"/>
      </bottom>
      <diagonal/>
    </border>
    <border>
      <left/>
      <right/>
      <top/>
      <bottom style="hair">
        <color rgb="A0A0A0"/>
      </bottom>
      <diagonal/>
    </border>
    <border>
      <left/>
      <right/>
      <top/>
      <bottom style="hair">
        <color rgb="A0A0A0"/>
      </bottom>
      <diagonal/>
    </border>
    <border>
      <left/>
      <right/>
      <top/>
      <bottom style="hair">
        <color rgb="A0A0A0"/>
      </bottom>
      <diagonal/>
    </border>
    <border>
      <left/>
      <right style="medium">
        <color rgb="000000"/>
      </right>
      <top/>
      <bottom style="hair">
        <color rgb="A0A0A0"/>
      </bottom>
      <diagonal/>
    </border>
    <border>
      <left style="medium">
        <color rgb="000000"/>
      </left>
      <right/>
      <top/>
      <bottom style="hair">
        <color rgb="A0A0A0"/>
      </bottom>
      <diagonal/>
    </border>
    <border>
      <left/>
      <right/>
      <top/>
      <bottom style="hair">
        <color rgb="A0A0A0"/>
      </bottom>
      <diagonal/>
    </border>
    <border>
      <left/>
      <right/>
      <top/>
      <bottom style="hair">
        <color rgb="A0A0A0"/>
      </bottom>
      <diagonal/>
    </border>
    <border>
      <left/>
      <right/>
      <top/>
      <bottom style="hair">
        <color rgb="A0A0A0"/>
      </bottom>
      <diagonal/>
    </border>
    <border>
      <left/>
      <right/>
      <top/>
      <bottom style="hair">
        <color rgb="A0A0A0"/>
      </bottom>
      <diagonal/>
    </border>
    <border>
      <left/>
      <right style="medium">
        <color rgb="000000"/>
      </right>
      <top/>
      <bottom style="hair">
        <color rgb="A0A0A0"/>
      </bottom>
      <diagonal/>
    </border>
    <border>
      <left style="medium">
        <color rgb="000000"/>
      </left>
      <right/>
      <top style="hair">
        <color rgb="A0A0A0"/>
      </top>
      <bottom style="medium">
        <color rgb="000000"/>
      </bottom>
      <diagonal/>
    </border>
    <border>
      <left/>
      <right/>
      <top style="hair">
        <color rgb="A0A0A0"/>
      </top>
      <bottom style="medium">
        <color rgb="000000"/>
      </bottom>
      <diagonal/>
    </border>
    <border>
      <left/>
      <right/>
      <top style="hair">
        <color rgb="A0A0A0"/>
      </top>
      <bottom style="medium">
        <color rgb="000000"/>
      </bottom>
      <diagonal/>
    </border>
    <border>
      <left/>
      <right/>
      <top style="hair">
        <color rgb="A0A0A0"/>
      </top>
      <bottom style="medium">
        <color rgb="000000"/>
      </bottom>
      <diagonal/>
    </border>
    <border>
      <left/>
      <right/>
      <top style="hair">
        <color rgb="A0A0A0"/>
      </top>
      <bottom style="medium">
        <color rgb="000000"/>
      </bottom>
      <diagonal/>
    </border>
    <border>
      <left/>
      <right style="medium">
        <color rgb="000000"/>
      </right>
      <top style="hair">
        <color rgb="A0A0A0"/>
      </top>
      <bottom style="medium">
        <color rgb="000000"/>
      </bottom>
      <diagonal/>
    </border>
    <border>
      <left style="medium">
        <color rgb="000000"/>
      </left>
      <right/>
      <top style="medium">
        <color rgb="000000"/>
      </top>
      <bottom style="medium">
        <color rgb="000000"/>
      </bottom>
      <diagonal/>
    </border>
    <border>
      <left/>
      <right/>
      <top style="medium">
        <color rgb="000000"/>
      </top>
      <bottom style="medium">
        <color rgb="000000"/>
      </bottom>
      <diagonal/>
    </border>
    <border>
      <left/>
      <right/>
      <top style="medium">
        <color rgb="000000"/>
      </top>
      <bottom style="medium">
        <color rgb="000000"/>
      </bottom>
      <diagonal/>
    </border>
    <border>
      <left/>
      <right/>
      <top style="medium">
        <color rgb="000000"/>
      </top>
      <bottom style="medium">
        <color rgb="000000"/>
      </bottom>
      <diagonal/>
    </border>
    <border>
      <left/>
      <right/>
      <top style="medium">
        <color rgb="000000"/>
      </top>
      <bottom style="medium">
        <color rgb="000000"/>
      </bottom>
      <diagonal/>
    </border>
    <border>
      <left/>
      <right style="medium">
        <color rgb="000000"/>
      </right>
      <top style="medium">
        <color rgb="000000"/>
      </top>
      <bottom style="medium">
        <color rgb="000000"/>
      </bottom>
      <diagonal/>
    </border>
  </borders>
  <cellStyleXfs>
    <xf numFmtId="0" fontId="0" fillId="0" borderId="0"/>
  </cellStyleXfs>
  <cellXfs count="39">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xf>
    <xf numFmtId="22" fontId="3" fillId="0" borderId="0" xfId="0" applyFont="1" applyNumberFormat="1" applyAlignment="1">
      <alignment horizontal="right" vertical="center"/>
    </xf>
    <xf numFmtId="0" fontId="4" fillId="2" borderId="0" xfId="0" applyFont="1" applyFill="1" applyAlignment="1">
      <alignment horizontal="center"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7" fillId="0" borderId="4" xfId="0" applyFont="1" applyBorder="1" applyAlignment="1">
      <alignment horizontal="center" vertical="center"/>
    </xf>
    <xf numFmtId="0" fontId="8" fillId="0" borderId="5" xfId="0" applyFont="1" applyBorder="1" applyAlignment="1">
      <alignment horizontal="center" vertical="center"/>
    </xf>
    <xf numFmtId="0" fontId="9" fillId="0" borderId="6" xfId="0" applyFont="1" applyBorder="1" applyAlignment="1">
      <alignment horizontal="left" vertical="center"/>
    </xf>
    <xf numFmtId="0" fontId="10" fillId="0" borderId="7" xfId="0" applyFont="1" applyBorder="1" applyAlignment="1">
      <alignment horizontal="right" vertical="center"/>
    </xf>
    <xf numFmtId="3" fontId="11" fillId="0" borderId="8" xfId="0" applyFont="1" applyBorder="1" applyNumberFormat="1" applyAlignment="1">
      <alignment horizontal="right" vertical="center"/>
    </xf>
    <xf numFmtId="4" fontId="12" fillId="0" borderId="9" xfId="0" applyFont="1" applyBorder="1" applyNumberFormat="1" applyAlignment="1">
      <alignment horizontal="right" vertical="center"/>
    </xf>
    <xf numFmtId="10" fontId="13" fillId="0" borderId="10" xfId="0" applyFont="1" applyBorder="1" applyNumberFormat="1" applyAlignment="1">
      <alignment horizontal="right" vertical="center"/>
    </xf>
    <xf numFmtId="0" fontId="14" fillId="0" borderId="11" xfId="0" applyFont="1" applyBorder="1" applyAlignment="1">
      <alignment horizontal="center" vertical="center"/>
    </xf>
    <xf numFmtId="0" fontId="15" fillId="0" borderId="12" xfId="0" applyFont="1" applyBorder="1" applyAlignment="1">
      <alignment horizontal="left" vertical="center"/>
    </xf>
    <xf numFmtId="0" fontId="16" fillId="0" borderId="13" xfId="0" applyFont="1" applyBorder="1" applyAlignment="1">
      <alignment horizontal="right" vertical="center"/>
    </xf>
    <xf numFmtId="3" fontId="17" fillId="0" borderId="14" xfId="0" applyFont="1" applyBorder="1" applyNumberFormat="1" applyAlignment="1">
      <alignment horizontal="right" vertical="center"/>
    </xf>
    <xf numFmtId="4" fontId="18" fillId="0" borderId="15" xfId="0" applyFont="1" applyBorder="1" applyNumberFormat="1" applyAlignment="1">
      <alignment horizontal="right" vertical="center"/>
    </xf>
    <xf numFmtId="10" fontId="19" fillId="0" borderId="16" xfId="0" applyFont="1" applyBorder="1" applyNumberFormat="1" applyAlignment="1">
      <alignment horizontal="right" vertical="center"/>
    </xf>
    <xf numFmtId="0" fontId="20" fillId="0" borderId="17" xfId="0" applyFont="1" applyBorder="1" applyAlignment="1">
      <alignment horizontal="center" vertical="center"/>
    </xf>
    <xf numFmtId="0" fontId="21" fillId="0" borderId="18" xfId="0" applyFont="1" applyBorder="1" applyAlignment="1">
      <alignment horizontal="left" vertical="center"/>
    </xf>
    <xf numFmtId="0" fontId="22" fillId="0" borderId="19" xfId="0" applyFont="1" applyBorder="1" applyAlignment="1">
      <alignment horizontal="right" vertical="center"/>
    </xf>
    <xf numFmtId="3" fontId="23" fillId="0" borderId="20" xfId="0" applyFont="1" applyBorder="1" applyNumberFormat="1" applyAlignment="1">
      <alignment horizontal="right" vertical="center"/>
    </xf>
    <xf numFmtId="4" fontId="24" fillId="0" borderId="21" xfId="0" applyFont="1" applyBorder="1" applyNumberFormat="1" applyAlignment="1">
      <alignment horizontal="right" vertical="center"/>
    </xf>
    <xf numFmtId="10" fontId="25" fillId="0" borderId="22" xfId="0" applyFont="1" applyBorder="1" applyNumberFormat="1" applyAlignment="1">
      <alignment horizontal="right" vertical="center"/>
    </xf>
    <xf numFmtId="0" fontId="26" fillId="0" borderId="23" xfId="0" applyFont="1" applyBorder="1" applyAlignment="1">
      <alignment horizontal="center" vertical="center"/>
    </xf>
    <xf numFmtId="0" fontId="27" fillId="0" borderId="24" xfId="0" applyFont="1" applyBorder="1" applyAlignment="1">
      <alignment horizontal="left" vertical="center"/>
    </xf>
    <xf numFmtId="0" fontId="28" fillId="0" borderId="25" xfId="0" applyFont="1" applyBorder="1" applyAlignment="1">
      <alignment horizontal="right" vertical="center"/>
    </xf>
    <xf numFmtId="3" fontId="29" fillId="0" borderId="26" xfId="0" applyFont="1" applyBorder="1" applyNumberFormat="1" applyAlignment="1">
      <alignment horizontal="right" vertical="center"/>
    </xf>
    <xf numFmtId="4" fontId="30" fillId="0" borderId="27" xfId="0" applyFont="1" applyBorder="1" applyNumberFormat="1" applyAlignment="1">
      <alignment horizontal="right" vertical="center"/>
    </xf>
    <xf numFmtId="10" fontId="31" fillId="0" borderId="28" xfId="0" applyFont="1" applyBorder="1" applyNumberFormat="1" applyAlignment="1">
      <alignment horizontal="right" vertical="center"/>
    </xf>
    <xf numFmtId="0" fontId="0" fillId="0" borderId="29" xfId="0" applyBorder="1"/>
    <xf numFmtId="0" fontId="32" fillId="0" borderId="30" xfId="0" applyFont="1" applyBorder="1" applyAlignment="1">
      <alignment horizontal="center" vertical="center"/>
    </xf>
    <xf numFmtId="0" fontId="0" fillId="0" borderId="31" xfId="0" applyBorder="1"/>
    <xf numFmtId="3" fontId="33" fillId="0" borderId="32" xfId="0" applyFont="1" applyBorder="1" applyNumberFormat="1" applyAlignment="1">
      <alignment horizontal="right" vertical="center"/>
    </xf>
    <xf numFmtId="4" fontId="34" fillId="0" borderId="33" xfId="0" applyFont="1" applyBorder="1" applyNumberFormat="1" applyAlignment="1">
      <alignment horizontal="right" vertical="center"/>
    </xf>
    <xf numFmtId="10" fontId="35" fillId="0" borderId="34" xfId="0" applyFont="1" applyBorder="1" applyNumberFormat="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42"/>
  <sheetViews>
    <sheetView workbookViewId="0"/>
  </sheetViews>
  <cols>
    <col min="1" max="1" width="7.1640625" customWidth="1"/>
    <col min="2" max="2" width="8.1640625" customWidth="1"/>
    <col min="3" max="3" width="35.4921875" customWidth="1"/>
    <col min="4" max="4" width="12.2734375" customWidth="1"/>
    <col min="5" max="5" width="13.83203125" customWidth="1"/>
    <col min="6" max="6" width="13.83203125" customWidth="1"/>
    <col min="7" max="7" width="13.83203125" customWidth="1"/>
    <col min="8" max="8" width="14.94140625" customWidth="1"/>
    <col min="9" max="9" width="14.83203125" customWidth="1"/>
    <col min="10" max="10" width="12.2734375" customWidth="1"/>
    <col min="11" max="11" width="13.83203125" customWidth="1"/>
    <col min="12" max="12" width="13.83203125" customWidth="1"/>
    <col min="13" max="13" width="7.72265625" customWidth="1"/>
  </cols>
  <sheetData>
    <row r="1" ht="14.4" customHeight="1">
      <c r="A1" s="3" t="str">
        <v>301548 MUNICIPALIDAD PROVINCIAL DE HUANCABAMBA</v>
      </c>
      <c r="B1" s="2" t="str">
        <v/>
      </c>
      <c r="C1" s="2" t="str">
        <v/>
      </c>
      <c r="D1" s="2" t="str">
        <v/>
      </c>
      <c r="E1" s="2" t="str">
        <v/>
      </c>
      <c r="F1" s="2" t="str">
        <v/>
      </c>
      <c r="G1" s="2" t="str">
        <v/>
      </c>
      <c r="H1" s="2" t="str">
        <v/>
      </c>
      <c r="I1" s="2" t="str">
        <v/>
      </c>
      <c r="J1" s="2" t="str">
        <v/>
      </c>
      <c r="K1" s="2" t="str">
        <v/>
      </c>
      <c r="L1" s="4">
        <f>NOW()</f>
      </c>
      <c r="M1" s="2" t="str">
        <v/>
      </c>
    </row>
    <row r="2" ht="22.5" customHeight="1">
      <c r="A2" s="5" t="str">
        <v>Ejecución Presupuestal  - Período 2026</v>
      </c>
      <c r="B2" s="5" t="str">
        <v/>
      </c>
      <c r="C2" s="5" t="str">
        <v/>
      </c>
      <c r="D2" s="5" t="str">
        <v/>
      </c>
      <c r="E2" s="5" t="str">
        <v/>
      </c>
      <c r="F2" s="5" t="str">
        <v/>
      </c>
      <c r="G2" s="5" t="str">
        <v/>
      </c>
      <c r="H2" s="5" t="str">
        <v/>
      </c>
      <c r="I2" s="5" t="str">
        <v/>
      </c>
      <c r="J2" s="5" t="str">
        <v/>
      </c>
      <c r="K2" s="5" t="str">
        <v/>
      </c>
      <c r="L2" s="5" t="str">
        <v/>
      </c>
      <c r="M2" s="5" t="str">
        <v/>
      </c>
    </row>
    <row r="3" ht="14.4" customHeight="1">
      <c r="A3" s="2" t="str">
        <v/>
      </c>
      <c r="B3" s="2" t="str">
        <v/>
      </c>
      <c r="C3" s="2" t="str">
        <v/>
      </c>
      <c r="D3" s="2" t="str">
        <v/>
      </c>
      <c r="E3" s="2" t="str">
        <v/>
      </c>
      <c r="F3" s="2" t="str">
        <v/>
      </c>
      <c r="G3" s="2" t="str">
        <v/>
      </c>
      <c r="H3" s="2" t="str">
        <v/>
      </c>
      <c r="I3" s="2" t="str">
        <v/>
      </c>
      <c r="J3" s="2" t="str">
        <v/>
      </c>
      <c r="K3" s="2" t="str">
        <v/>
      </c>
      <c r="L3" s="2" t="str">
        <v/>
      </c>
      <c r="M3" s="2" t="str">
        <v/>
      </c>
    </row>
    <row r="4" ht="15" customHeight="1">
      <c r="A4" s="6" t="str">
        <v>Codigo</v>
      </c>
      <c r="B4" s="7" t="str">
        <v>Nombre Meta</v>
      </c>
      <c r="C4" s="7" t="str">
        <v/>
      </c>
      <c r="D4" s="7" t="str">
        <v>Pia</v>
      </c>
      <c r="E4" s="7" t="str">
        <v>Mod</v>
      </c>
      <c r="F4" s="7" t="str">
        <v>Pím</v>
      </c>
      <c r="G4" s="7" t="str">
        <v>Certicado</v>
      </c>
      <c r="H4" s="7" t="str">
        <v>CompromisoA</v>
      </c>
      <c r="I4" s="7" t="str">
        <v>CompromisoM</v>
      </c>
      <c r="J4" s="7" t="str">
        <v>Devengado</v>
      </c>
      <c r="K4" s="7" t="str">
        <v>Girado</v>
      </c>
      <c r="L4" s="7" t="str">
        <v>Saldo</v>
      </c>
      <c r="M4" s="8" t="str">
        <v>Avan</v>
      </c>
    </row>
    <row r="5" ht="14.4" customHeight="1">
      <c r="A5" s="9" t="str">
        <v>0001</v>
      </c>
      <c r="B5" s="10" t="str">
        <v>BRINDAR APOYO NUTRICIONAL A LAS PERSONAS AFECTADAS POR TUBERCULOSIS</v>
      </c>
      <c r="C5" s="11" t="str">
        <v/>
      </c>
      <c r="D5" s="12">
        <v>52622</v>
      </c>
      <c r="E5" s="12">
        <v>0</v>
      </c>
      <c r="F5" s="12">
        <v>52622</v>
      </c>
      <c r="G5" s="13">
        <v>52621.99</v>
      </c>
      <c r="H5" s="13">
        <v>0</v>
      </c>
      <c r="I5" s="13">
        <v>0</v>
      </c>
      <c r="J5" s="13">
        <v>0</v>
      </c>
      <c r="K5" s="13">
        <v>0</v>
      </c>
      <c r="L5" s="13">
        <v>0</v>
      </c>
      <c r="M5" s="14">
        <f>IF(G5&gt;0,J5/G5,0)</f>
      </c>
    </row>
    <row r="6" ht="14.4" customHeight="1">
      <c r="A6" s="15" t="str">
        <v/>
      </c>
      <c r="B6" s="16" t="str">
        <v>00 RECURSOS ORDINARIOS</v>
      </c>
      <c r="C6" s="17" t="str">
        <v/>
      </c>
      <c r="D6" s="18">
        <v>52622</v>
      </c>
      <c r="E6" s="18">
        <v>0</v>
      </c>
      <c r="F6" s="18">
        <v>52622</v>
      </c>
      <c r="G6" s="19">
        <v>52621.99</v>
      </c>
      <c r="H6" s="19">
        <v>0</v>
      </c>
      <c r="I6" s="19">
        <v>0</v>
      </c>
      <c r="J6" s="19">
        <v>0</v>
      </c>
      <c r="K6" s="19">
        <v>0</v>
      </c>
      <c r="L6" s="19">
        <v>0</v>
      </c>
      <c r="M6" s="20">
        <f>IF(G6&gt;0,J6/G6,0)</f>
      </c>
    </row>
    <row r="7" ht="14.4" customHeight="1">
      <c r="A7" s="21" t="str">
        <v/>
      </c>
      <c r="B7" s="22" t="str">
        <v>2.2.2.3.1.1     ALIMENTOS PARA PROGRAMAS SOCIALES</v>
      </c>
      <c r="C7" s="23" t="str">
        <v/>
      </c>
      <c r="D7" s="24">
        <v>52622</v>
      </c>
      <c r="E7" s="24">
        <v>0</v>
      </c>
      <c r="F7" s="24">
        <v>52622</v>
      </c>
      <c r="G7" s="25">
        <v>52621.99</v>
      </c>
      <c r="H7" s="25">
        <v>0</v>
      </c>
      <c r="I7" s="25">
        <v>0</v>
      </c>
      <c r="J7" s="25">
        <v>0</v>
      </c>
      <c r="K7" s="25">
        <v>0</v>
      </c>
      <c r="L7" s="25">
        <v>0</v>
      </c>
      <c r="M7" s="26">
        <f>IF(G7&gt;0,J7/G7,0)</f>
      </c>
    </row>
    <row r="8" ht="14.4" customHeight="1">
      <c r="A8" s="15" t="str">
        <v>0002</v>
      </c>
      <c r="B8" s="16" t="str">
        <v>PATRULLAJE MUNICIPAL POR SECTOR - SERENAZGO</v>
      </c>
      <c r="C8" s="17" t="str">
        <v/>
      </c>
      <c r="D8" s="18">
        <v>697153</v>
      </c>
      <c r="E8" s="18">
        <v>136600</v>
      </c>
      <c r="F8" s="18">
        <v>833753</v>
      </c>
      <c r="G8" s="19">
        <v>391734.03</v>
      </c>
      <c r="H8" s="19">
        <v>110333.98999999999</v>
      </c>
      <c r="I8" s="19">
        <v>234514.05</v>
      </c>
      <c r="J8" s="19">
        <v>221014.05</v>
      </c>
      <c r="K8" s="19">
        <v>189584.51</v>
      </c>
      <c r="L8" s="19">
        <v>189584.51</v>
      </c>
      <c r="M8" s="20">
        <f>IF(G8&gt;0,J8/G8,0)</f>
      </c>
    </row>
    <row r="9" ht="14.4" customHeight="1">
      <c r="A9" s="15" t="str">
        <v/>
      </c>
      <c r="B9" s="16" t="str">
        <v>07 FONDO DE COMPENSACION MUNICIPAL</v>
      </c>
      <c r="C9" s="17" t="str">
        <v/>
      </c>
      <c r="D9" s="18">
        <v>697153</v>
      </c>
      <c r="E9" s="18">
        <v>136600</v>
      </c>
      <c r="F9" s="18">
        <v>833753</v>
      </c>
      <c r="G9" s="19">
        <v>391734.03</v>
      </c>
      <c r="H9" s="19">
        <v>110333.98999999999</v>
      </c>
      <c r="I9" s="19">
        <v>234514.05</v>
      </c>
      <c r="J9" s="19">
        <v>221014.05</v>
      </c>
      <c r="K9" s="19">
        <v>189584.51</v>
      </c>
      <c r="L9" s="19">
        <v>189584.51</v>
      </c>
      <c r="M9" s="20">
        <f>IF(G9&gt;0,J9/G9,0)</f>
      </c>
    </row>
    <row r="10" ht="14.4" customHeight="1">
      <c r="A10" s="21" t="str">
        <v/>
      </c>
      <c r="B10" s="22" t="str">
        <v>2.1.1.1.1.3     PERSONAL CON CONTRATO A PLAZO FIJO (REGIMEN LABORAL PUBLICO)</v>
      </c>
      <c r="C10" s="23" t="str">
        <v/>
      </c>
      <c r="D10" s="24">
        <v>72000</v>
      </c>
      <c r="E10" s="24">
        <v>0</v>
      </c>
      <c r="F10" s="24">
        <v>72000</v>
      </c>
      <c r="G10" s="25">
        <v>72000</v>
      </c>
      <c r="H10" s="25">
        <v>9600</v>
      </c>
      <c r="I10" s="25">
        <v>17100</v>
      </c>
      <c r="J10" s="25">
        <v>17100</v>
      </c>
      <c r="K10" s="25">
        <v>17034</v>
      </c>
      <c r="L10" s="25">
        <v>17034</v>
      </c>
      <c r="M10" s="26">
        <f>IF(G10&gt;0,J10/G10,0)</f>
      </c>
    </row>
    <row r="11" ht="14.4" customHeight="1">
      <c r="A11" s="21" t="str">
        <v/>
      </c>
      <c r="B11" s="22" t="str">
        <v>2.1.1.13.1.2     CONTRATO ADMINISTRATIVO DE SERVICIOS - TRANSITORIO</v>
      </c>
      <c r="C11" s="23" t="str">
        <v/>
      </c>
      <c r="D11" s="24">
        <v>15600</v>
      </c>
      <c r="E11" s="24">
        <v>0</v>
      </c>
      <c r="F11" s="24">
        <v>15600</v>
      </c>
      <c r="G11" s="25">
        <v>0</v>
      </c>
      <c r="H11" s="25">
        <v>0</v>
      </c>
      <c r="I11" s="25">
        <v>0</v>
      </c>
      <c r="J11" s="25">
        <v>0</v>
      </c>
      <c r="K11" s="25">
        <v>0</v>
      </c>
      <c r="L11" s="25">
        <v>0</v>
      </c>
      <c r="M11" s="26">
        <f>IF(G11&gt;0,J11/G11,0)</f>
      </c>
    </row>
    <row r="12" ht="14.4" customHeight="1">
      <c r="A12" s="21" t="str">
        <v/>
      </c>
      <c r="B12" s="22" t="str">
        <v>2.1.1.8.1.1     OBREROS PERMANENTES</v>
      </c>
      <c r="C12" s="23" t="str">
        <v/>
      </c>
      <c r="D12" s="24">
        <v>172800</v>
      </c>
      <c r="E12" s="24">
        <v>36000</v>
      </c>
      <c r="F12" s="24">
        <v>208800</v>
      </c>
      <c r="G12" s="25">
        <v>208800</v>
      </c>
      <c r="H12" s="25">
        <v>36862.44</v>
      </c>
      <c r="I12" s="25">
        <v>73724.88</v>
      </c>
      <c r="J12" s="25">
        <v>73724.88</v>
      </c>
      <c r="K12" s="25">
        <v>69771.34</v>
      </c>
      <c r="L12" s="25">
        <v>69771.34</v>
      </c>
      <c r="M12" s="26">
        <f>IF(G12&gt;0,J12/G12,0)</f>
      </c>
    </row>
    <row r="13" ht="14.4" customHeight="1">
      <c r="A13" s="21" t="str">
        <v/>
      </c>
      <c r="B13" s="22" t="str">
        <v>2.1.1.9.1.1     GRATIFICACIONES</v>
      </c>
      <c r="C13" s="23" t="str">
        <v/>
      </c>
      <c r="D13" s="24">
        <v>28800</v>
      </c>
      <c r="E13" s="24">
        <v>0</v>
      </c>
      <c r="F13" s="24">
        <v>28800</v>
      </c>
      <c r="G13" s="25">
        <v>28800</v>
      </c>
      <c r="H13" s="25">
        <v>0</v>
      </c>
      <c r="I13" s="25">
        <v>0</v>
      </c>
      <c r="J13" s="25">
        <v>0</v>
      </c>
      <c r="K13" s="25">
        <v>0</v>
      </c>
      <c r="L13" s="25">
        <v>0</v>
      </c>
      <c r="M13" s="26">
        <f>IF(G13&gt;0,J13/G13,0)</f>
      </c>
    </row>
    <row r="14" ht="14.4" customHeight="1">
      <c r="A14" s="21" t="str">
        <v/>
      </c>
      <c r="B14" s="22" t="str">
        <v>2.1.1.9.1.4     AGUINALDOS DE CONTRATO ADMINISTRATIVO DE SERVICIOS</v>
      </c>
      <c r="C14" s="23" t="str">
        <v/>
      </c>
      <c r="D14" s="24">
        <v>600</v>
      </c>
      <c r="E14" s="24">
        <v>0</v>
      </c>
      <c r="F14" s="24">
        <v>600</v>
      </c>
      <c r="G14" s="25">
        <v>0</v>
      </c>
      <c r="H14" s="25">
        <v>0</v>
      </c>
      <c r="I14" s="25">
        <v>0</v>
      </c>
      <c r="J14" s="25">
        <v>0</v>
      </c>
      <c r="K14" s="25">
        <v>0</v>
      </c>
      <c r="L14" s="25">
        <v>0</v>
      </c>
      <c r="M14" s="26">
        <f>IF(G14&gt;0,J14/G14,0)</f>
      </c>
    </row>
    <row r="15" ht="14.4" customHeight="1">
      <c r="A15" s="21" t="str">
        <v/>
      </c>
      <c r="B15" s="22" t="str">
        <v>2.1.3.1.1.13     CONTRIBUCIONES A ESSALUD DEL PERSONAL ADMINISTRATIVO</v>
      </c>
      <c r="C15" s="23" t="str">
        <v/>
      </c>
      <c r="D15" s="24">
        <v>22032</v>
      </c>
      <c r="E15" s="24">
        <v>0</v>
      </c>
      <c r="F15" s="24">
        <v>22032</v>
      </c>
      <c r="G15" s="25">
        <v>22032</v>
      </c>
      <c r="H15" s="25">
        <v>3769.52</v>
      </c>
      <c r="I15" s="25">
        <v>7087.14</v>
      </c>
      <c r="J15" s="25">
        <v>7087.14</v>
      </c>
      <c r="K15" s="25">
        <v>7087.14</v>
      </c>
      <c r="L15" s="25">
        <v>7087.14</v>
      </c>
      <c r="M15" s="26">
        <f>IF(G15&gt;0,J15/G15,0)</f>
      </c>
    </row>
    <row r="16" ht="14.4" customHeight="1">
      <c r="A16" s="21" t="str">
        <v/>
      </c>
      <c r="B16" s="22" t="str">
        <v>2.1.3.1.1.15     CONTRIBUCIONES A ESSALUD DE CONTRATO ADMINISTRATIVO DE SERVICIOS</v>
      </c>
      <c r="C16" s="23" t="str">
        <v/>
      </c>
      <c r="D16" s="24">
        <v>1521</v>
      </c>
      <c r="E16" s="24">
        <v>0</v>
      </c>
      <c r="F16" s="24">
        <v>1521</v>
      </c>
      <c r="G16" s="25">
        <v>638.7</v>
      </c>
      <c r="H16" s="25">
        <v>638.7</v>
      </c>
      <c r="I16" s="25">
        <v>638.7</v>
      </c>
      <c r="J16" s="25">
        <v>638.7</v>
      </c>
      <c r="K16" s="25">
        <v>638.7</v>
      </c>
      <c r="L16" s="25">
        <v>638.7</v>
      </c>
      <c r="M16" s="26">
        <f>IF(G16&gt;0,J16/G16,0)</f>
      </c>
    </row>
    <row r="17" ht="14.4" customHeight="1">
      <c r="A17" s="21" t="str">
        <v/>
      </c>
      <c r="B17" s="22" t="str">
        <v>2.1.4.1.1.2     COMPENSACION POR TIEMPO DE SERVICIOS DE OTROS REGÍMENES</v>
      </c>
      <c r="C17" s="23" t="str">
        <v/>
      </c>
      <c r="D17" s="24">
        <v>14400</v>
      </c>
      <c r="E17" s="24">
        <v>-14400</v>
      </c>
      <c r="F17" s="24">
        <v>0</v>
      </c>
      <c r="G17" s="25">
        <v>0</v>
      </c>
      <c r="H17" s="25">
        <v>0</v>
      </c>
      <c r="I17" s="25">
        <v>0</v>
      </c>
      <c r="J17" s="25">
        <v>0</v>
      </c>
      <c r="K17" s="25">
        <v>0</v>
      </c>
      <c r="L17" s="25">
        <v>0</v>
      </c>
      <c r="M17" s="26">
        <f>IF(G17&gt;0,J17/G17,0)</f>
      </c>
    </row>
    <row r="18" ht="14.4" customHeight="1">
      <c r="A18" s="21" t="str">
        <v/>
      </c>
      <c r="B18" s="22" t="str">
        <v>2.1.4.1.1.6     COMPENSACION VACACIONAL (VACACIONES TRUNCAS) AL PERSONAL ACTIVO</v>
      </c>
      <c r="C18" s="23" t="str">
        <v/>
      </c>
      <c r="D18" s="24">
        <v>20400</v>
      </c>
      <c r="E18" s="24">
        <v>0</v>
      </c>
      <c r="F18" s="24">
        <v>20400</v>
      </c>
      <c r="G18" s="25">
        <v>11263.33</v>
      </c>
      <c r="H18" s="25">
        <v>11263.33</v>
      </c>
      <c r="I18" s="25">
        <v>11263.33</v>
      </c>
      <c r="J18" s="25">
        <v>11263.33</v>
      </c>
      <c r="K18" s="25">
        <v>11263.33</v>
      </c>
      <c r="L18" s="25">
        <v>11263.33</v>
      </c>
      <c r="M18" s="26">
        <f>IF(G18&gt;0,J18/G18,0)</f>
      </c>
    </row>
    <row r="19" ht="14.4" customHeight="1">
      <c r="A19" s="21" t="str">
        <v/>
      </c>
      <c r="B19" s="22" t="str">
        <v>2.3.1.10.1.1     SUMINISTROS DE USO ZOOTECNICO</v>
      </c>
      <c r="C19" s="23" t="str">
        <v/>
      </c>
      <c r="D19" s="24">
        <v>300</v>
      </c>
      <c r="E19" s="24">
        <v>0</v>
      </c>
      <c r="F19" s="24">
        <v>300</v>
      </c>
      <c r="G19" s="25">
        <v>0</v>
      </c>
      <c r="H19" s="25">
        <v>0</v>
      </c>
      <c r="I19" s="25">
        <v>0</v>
      </c>
      <c r="J19" s="25">
        <v>0</v>
      </c>
      <c r="K19" s="25">
        <v>0</v>
      </c>
      <c r="L19" s="25">
        <v>0</v>
      </c>
      <c r="M19" s="26">
        <f>IF(G19&gt;0,J19/G19,0)</f>
      </c>
    </row>
    <row r="20" ht="14.4" customHeight="1">
      <c r="A20" s="21" t="str">
        <v/>
      </c>
      <c r="B20" s="22" t="str">
        <v>2.3.1.2.1.1     VESTUARIO, ACCESORIOS Y PRENDAS DIVERSAS</v>
      </c>
      <c r="C20" s="23" t="str">
        <v/>
      </c>
      <c r="D20" s="24">
        <v>10600</v>
      </c>
      <c r="E20" s="24">
        <v>-10600</v>
      </c>
      <c r="F20" s="24">
        <v>0</v>
      </c>
      <c r="G20" s="25">
        <v>0</v>
      </c>
      <c r="H20" s="25">
        <v>0</v>
      </c>
      <c r="I20" s="25">
        <v>0</v>
      </c>
      <c r="J20" s="25">
        <v>0</v>
      </c>
      <c r="K20" s="25">
        <v>0</v>
      </c>
      <c r="L20" s="25">
        <v>0</v>
      </c>
      <c r="M20" s="26">
        <f>IF(G20&gt;0,J20/G20,0)</f>
      </c>
    </row>
    <row r="21" ht="14.4" customHeight="1">
      <c r="A21" s="21" t="str">
        <v/>
      </c>
      <c r="B21" s="22" t="str">
        <v>2.3.2.7.11.2     TRANSPORTE Y TRASLADO DE CARGA, BIENES Y MATERIALES</v>
      </c>
      <c r="C21" s="23" t="str">
        <v/>
      </c>
      <c r="D21" s="24">
        <v>6500</v>
      </c>
      <c r="E21" s="24">
        <v>-6500</v>
      </c>
      <c r="F21" s="24">
        <v>0</v>
      </c>
      <c r="G21" s="25">
        <v>0</v>
      </c>
      <c r="H21" s="25">
        <v>0</v>
      </c>
      <c r="I21" s="25">
        <v>0</v>
      </c>
      <c r="J21" s="25">
        <v>0</v>
      </c>
      <c r="K21" s="25">
        <v>0</v>
      </c>
      <c r="L21" s="25">
        <v>0</v>
      </c>
      <c r="M21" s="26">
        <f>IF(G21&gt;0,J21/G21,0)</f>
      </c>
    </row>
    <row r="22" ht="14.4" customHeight="1">
      <c r="A22" s="21" t="str">
        <v/>
      </c>
      <c r="B22" s="22" t="str">
        <v>2.3.2.7.11.5     SERVICIOS DE ALIMENTACION DE CONSUMO HUMANO</v>
      </c>
      <c r="C22" s="23" t="str">
        <v/>
      </c>
      <c r="D22" s="24">
        <v>2250</v>
      </c>
      <c r="E22" s="24">
        <v>0</v>
      </c>
      <c r="F22" s="24">
        <v>2250</v>
      </c>
      <c r="G22" s="25">
        <v>0</v>
      </c>
      <c r="H22" s="25">
        <v>0</v>
      </c>
      <c r="I22" s="25">
        <v>0</v>
      </c>
      <c r="J22" s="25">
        <v>0</v>
      </c>
      <c r="K22" s="25">
        <v>-10</v>
      </c>
      <c r="L22" s="25">
        <v>-10</v>
      </c>
      <c r="M22" s="26">
        <f>IF(G22&gt;0,J22/G22,0)</f>
      </c>
    </row>
    <row r="23" ht="14.4" customHeight="1">
      <c r="A23" s="21" t="str">
        <v/>
      </c>
      <c r="B23" s="22" t="str">
        <v>2.3.2.7.11.6     SERVICIO DE IMPRESIONES, ENCUADERNACION Y EMPASTADO</v>
      </c>
      <c r="C23" s="23" t="str">
        <v/>
      </c>
      <c r="D23" s="24">
        <v>1950</v>
      </c>
      <c r="E23" s="24">
        <v>0</v>
      </c>
      <c r="F23" s="24">
        <v>1950</v>
      </c>
      <c r="G23" s="25">
        <v>1950</v>
      </c>
      <c r="H23" s="25">
        <v>1950</v>
      </c>
      <c r="I23" s="25">
        <v>1950</v>
      </c>
      <c r="J23" s="25">
        <v>1950</v>
      </c>
      <c r="K23" s="25">
        <v>1950</v>
      </c>
      <c r="L23" s="25">
        <v>1950</v>
      </c>
      <c r="M23" s="26">
        <f>IF(G23&gt;0,J23/G23,0)</f>
      </c>
    </row>
    <row r="24" ht="14.4" customHeight="1">
      <c r="A24" s="21" t="str">
        <v/>
      </c>
      <c r="B24" s="22" t="str">
        <v>2.3.2.7.11.99     SERVICIOS DIVERSOS</v>
      </c>
      <c r="C24" s="23" t="str">
        <v/>
      </c>
      <c r="D24" s="24">
        <v>272900</v>
      </c>
      <c r="E24" s="24">
        <v>0</v>
      </c>
      <c r="F24" s="24">
        <v>272900</v>
      </c>
      <c r="G24" s="25">
        <v>33000</v>
      </c>
      <c r="H24" s="25">
        <v>33000</v>
      </c>
      <c r="I24" s="25">
        <v>70500</v>
      </c>
      <c r="J24" s="25">
        <v>70500</v>
      </c>
      <c r="K24" s="25">
        <v>68600</v>
      </c>
      <c r="L24" s="25">
        <v>68600</v>
      </c>
      <c r="M24" s="26">
        <f>IF(G24&gt;0,J24/G24,0)</f>
      </c>
    </row>
    <row r="25" ht="14.4" customHeight="1">
      <c r="A25" s="21" t="str">
        <v/>
      </c>
      <c r="B25" s="22" t="str">
        <v>2.3.2.9.1.1     LOCACIÓN DE SERVICIOS REALIZADOS POR PERSONA NATURAL</v>
      </c>
      <c r="C25" s="23" t="str">
        <v/>
      </c>
      <c r="D25" s="24">
        <v>24500</v>
      </c>
      <c r="E25" s="24">
        <v>132100</v>
      </c>
      <c r="F25" s="24">
        <v>156600</v>
      </c>
      <c r="G25" s="25">
        <v>13250</v>
      </c>
      <c r="H25" s="25">
        <v>13250</v>
      </c>
      <c r="I25" s="25">
        <v>52250</v>
      </c>
      <c r="J25" s="25">
        <v>38750</v>
      </c>
      <c r="K25" s="25">
        <v>13250</v>
      </c>
      <c r="L25" s="25">
        <v>13250</v>
      </c>
      <c r="M25" s="26">
        <f>IF(G25&gt;0,J25/G25,0)</f>
      </c>
    </row>
    <row r="26" ht="14.4" customHeight="1">
      <c r="A26" s="21" t="str">
        <v/>
      </c>
      <c r="B26" s="22" t="str">
        <v>2.6.3.1.1.1     PARA TRANSPORTE TERRESTRE</v>
      </c>
      <c r="C26" s="23" t="str">
        <v/>
      </c>
      <c r="D26" s="24">
        <v>30000</v>
      </c>
      <c r="E26" s="24">
        <v>0</v>
      </c>
      <c r="F26" s="24">
        <v>30000</v>
      </c>
      <c r="G26" s="25">
        <v>0</v>
      </c>
      <c r="H26" s="25">
        <v>0</v>
      </c>
      <c r="I26" s="25">
        <v>0</v>
      </c>
      <c r="J26" s="25">
        <v>0</v>
      </c>
      <c r="K26" s="25">
        <v>0</v>
      </c>
      <c r="L26" s="25">
        <v>0</v>
      </c>
      <c r="M26" s="26">
        <f>IF(G26&gt;0,J26/G26,0)</f>
      </c>
    </row>
    <row r="27" ht="14.4" customHeight="1">
      <c r="A27" s="15" t="str">
        <v>0003</v>
      </c>
      <c r="B27" s="16" t="str">
        <v>COMUNIDAD RECIBE ACCIONES DE PREVENCION EN EL MARCO DEL PLAN DE SEGURIDAD CIUDADANA</v>
      </c>
      <c r="C27" s="17" t="str">
        <v/>
      </c>
      <c r="D27" s="18">
        <v>80000</v>
      </c>
      <c r="E27" s="18">
        <v>0</v>
      </c>
      <c r="F27" s="18">
        <v>80000</v>
      </c>
      <c r="G27" s="19">
        <v>0</v>
      </c>
      <c r="H27" s="19">
        <v>0</v>
      </c>
      <c r="I27" s="19">
        <v>0</v>
      </c>
      <c r="J27" s="19">
        <v>0</v>
      </c>
      <c r="K27" s="19">
        <v>0</v>
      </c>
      <c r="L27" s="19">
        <v>0</v>
      </c>
      <c r="M27" s="20">
        <f>IF(G27&gt;0,J27/G27,0)</f>
      </c>
    </row>
    <row r="28" ht="14.4" customHeight="1">
      <c r="A28" s="15" t="str">
        <v/>
      </c>
      <c r="B28" s="16" t="str">
        <v>07 FONDO DE COMPENSACION MUNICIPAL</v>
      </c>
      <c r="C28" s="17" t="str">
        <v/>
      </c>
      <c r="D28" s="18">
        <v>80000</v>
      </c>
      <c r="E28" s="18">
        <v>0</v>
      </c>
      <c r="F28" s="18">
        <v>80000</v>
      </c>
      <c r="G28" s="19">
        <v>0</v>
      </c>
      <c r="H28" s="19">
        <v>0</v>
      </c>
      <c r="I28" s="19">
        <v>0</v>
      </c>
      <c r="J28" s="19">
        <v>0</v>
      </c>
      <c r="K28" s="19">
        <v>0</v>
      </c>
      <c r="L28" s="19">
        <v>0</v>
      </c>
      <c r="M28" s="20">
        <f>IF(G28&gt;0,J28/G28,0)</f>
      </c>
    </row>
    <row r="29" ht="14.4" customHeight="1">
      <c r="A29" s="21" t="str">
        <v/>
      </c>
      <c r="B29" s="22" t="str">
        <v>2.3.1.10.1.1     SUMINISTROS DE USO ZOOTECNICO</v>
      </c>
      <c r="C29" s="23" t="str">
        <v/>
      </c>
      <c r="D29" s="24">
        <v>12600</v>
      </c>
      <c r="E29" s="24">
        <v>0</v>
      </c>
      <c r="F29" s="24">
        <v>12600</v>
      </c>
      <c r="G29" s="25">
        <v>0</v>
      </c>
      <c r="H29" s="25">
        <v>0</v>
      </c>
      <c r="I29" s="25">
        <v>0</v>
      </c>
      <c r="J29" s="25">
        <v>0</v>
      </c>
      <c r="K29" s="25">
        <v>0</v>
      </c>
      <c r="L29" s="25">
        <v>0</v>
      </c>
      <c r="M29" s="26">
        <f>IF(G29&gt;0,J29/G29,0)</f>
      </c>
    </row>
    <row r="30" ht="14.4" customHeight="1">
      <c r="A30" s="21" t="str">
        <v/>
      </c>
      <c r="B30" s="22" t="str">
        <v>2.3.1.2.1.1     VESTUARIO, ACCESORIOS Y PRENDAS DIVERSAS</v>
      </c>
      <c r="C30" s="23" t="str">
        <v/>
      </c>
      <c r="D30" s="24">
        <v>24700</v>
      </c>
      <c r="E30" s="24">
        <v>0</v>
      </c>
      <c r="F30" s="24">
        <v>24700</v>
      </c>
      <c r="G30" s="25">
        <v>0</v>
      </c>
      <c r="H30" s="25">
        <v>0</v>
      </c>
      <c r="I30" s="25">
        <v>0</v>
      </c>
      <c r="J30" s="25">
        <v>0</v>
      </c>
      <c r="K30" s="25">
        <v>0</v>
      </c>
      <c r="L30" s="25">
        <v>0</v>
      </c>
      <c r="M30" s="26">
        <f>IF(G30&gt;0,J30/G30,0)</f>
      </c>
    </row>
    <row r="31" ht="14.4" customHeight="1">
      <c r="A31" s="21" t="str">
        <v/>
      </c>
      <c r="B31" s="22" t="str">
        <v>2.3.1.2.1.3     CALZADO</v>
      </c>
      <c r="C31" s="23" t="str">
        <v/>
      </c>
      <c r="D31" s="24">
        <v>27245</v>
      </c>
      <c r="E31" s="24">
        <v>0</v>
      </c>
      <c r="F31" s="24">
        <v>27245</v>
      </c>
      <c r="G31" s="25">
        <v>0</v>
      </c>
      <c r="H31" s="25">
        <v>0</v>
      </c>
      <c r="I31" s="25">
        <v>0</v>
      </c>
      <c r="J31" s="25">
        <v>0</v>
      </c>
      <c r="K31" s="25">
        <v>0</v>
      </c>
      <c r="L31" s="25">
        <v>0</v>
      </c>
      <c r="M31" s="26">
        <f>IF(G31&gt;0,J31/G31,0)</f>
      </c>
    </row>
    <row r="32" ht="14.4" customHeight="1">
      <c r="A32" s="21" t="str">
        <v/>
      </c>
      <c r="B32" s="22" t="str">
        <v>2.3.1.9.1.99     OTROS MATERIALES DIVERSOS DE ENSEÑANZA</v>
      </c>
      <c r="C32" s="23" t="str">
        <v/>
      </c>
      <c r="D32" s="24">
        <v>1555</v>
      </c>
      <c r="E32" s="24">
        <v>0</v>
      </c>
      <c r="F32" s="24">
        <v>1555</v>
      </c>
      <c r="G32" s="25">
        <v>0</v>
      </c>
      <c r="H32" s="25">
        <v>0</v>
      </c>
      <c r="I32" s="25">
        <v>0</v>
      </c>
      <c r="J32" s="25">
        <v>0</v>
      </c>
      <c r="K32" s="25">
        <v>0</v>
      </c>
      <c r="L32" s="25">
        <v>0</v>
      </c>
      <c r="M32" s="26">
        <f>IF(G32&gt;0,J32/G32,0)</f>
      </c>
    </row>
    <row r="33" ht="14.4" customHeight="1">
      <c r="A33" s="21" t="str">
        <v/>
      </c>
      <c r="B33" s="22" t="str">
        <v>2.3.1.99.1.4     SIMBOLOS, DISTINTIVOS Y CONDECORACIONES</v>
      </c>
      <c r="C33" s="23" t="str">
        <v/>
      </c>
      <c r="D33" s="24">
        <v>2500</v>
      </c>
      <c r="E33" s="24">
        <v>0</v>
      </c>
      <c r="F33" s="24">
        <v>2500</v>
      </c>
      <c r="G33" s="25">
        <v>0</v>
      </c>
      <c r="H33" s="25">
        <v>0</v>
      </c>
      <c r="I33" s="25">
        <v>0</v>
      </c>
      <c r="J33" s="25">
        <v>0</v>
      </c>
      <c r="K33" s="25">
        <v>0</v>
      </c>
      <c r="L33" s="25">
        <v>0</v>
      </c>
      <c r="M33" s="26">
        <f>IF(G33&gt;0,J33/G33,0)</f>
      </c>
    </row>
    <row r="34" ht="14.4" customHeight="1">
      <c r="A34" s="21" t="str">
        <v/>
      </c>
      <c r="B34" s="22" t="str">
        <v>2.3.2.7.11.5     SERVICIOS DE ALIMENTACION DE CONSUMO HUMANO</v>
      </c>
      <c r="C34" s="23" t="str">
        <v/>
      </c>
      <c r="D34" s="24">
        <v>3500</v>
      </c>
      <c r="E34" s="24">
        <v>0</v>
      </c>
      <c r="F34" s="24">
        <v>3500</v>
      </c>
      <c r="G34" s="25">
        <v>0</v>
      </c>
      <c r="H34" s="25">
        <v>0</v>
      </c>
      <c r="I34" s="25">
        <v>0</v>
      </c>
      <c r="J34" s="25">
        <v>0</v>
      </c>
      <c r="K34" s="25">
        <v>0</v>
      </c>
      <c r="L34" s="25">
        <v>0</v>
      </c>
      <c r="M34" s="26">
        <f>IF(G34&gt;0,J34/G34,0)</f>
      </c>
    </row>
    <row r="35" ht="14.4" customHeight="1">
      <c r="A35" s="21" t="str">
        <v/>
      </c>
      <c r="B35" s="22" t="str">
        <v>2.3.2.7.11.6     SERVICIO DE IMPRESIONES, ENCUADERNACION Y EMPASTADO</v>
      </c>
      <c r="C35" s="23" t="str">
        <v/>
      </c>
      <c r="D35" s="24">
        <v>5000</v>
      </c>
      <c r="E35" s="24">
        <v>0</v>
      </c>
      <c r="F35" s="24">
        <v>5000</v>
      </c>
      <c r="G35" s="25">
        <v>0</v>
      </c>
      <c r="H35" s="25">
        <v>0</v>
      </c>
      <c r="I35" s="25">
        <v>0</v>
      </c>
      <c r="J35" s="25">
        <v>0</v>
      </c>
      <c r="K35" s="25">
        <v>0</v>
      </c>
      <c r="L35" s="25">
        <v>0</v>
      </c>
      <c r="M35" s="26">
        <f>IF(G35&gt;0,J35/G35,0)</f>
      </c>
    </row>
    <row r="36" ht="14.4" customHeight="1">
      <c r="A36" s="21" t="str">
        <v/>
      </c>
      <c r="B36" s="22" t="str">
        <v>2.6.3.2.3.1     EQUIPOS COMPUTACIONALES Y PERIFERICOS</v>
      </c>
      <c r="C36" s="23" t="str">
        <v/>
      </c>
      <c r="D36" s="24">
        <v>1700</v>
      </c>
      <c r="E36" s="24">
        <v>0</v>
      </c>
      <c r="F36" s="24">
        <v>1700</v>
      </c>
      <c r="G36" s="25">
        <v>0</v>
      </c>
      <c r="H36" s="25">
        <v>0</v>
      </c>
      <c r="I36" s="25">
        <v>0</v>
      </c>
      <c r="J36" s="25">
        <v>0</v>
      </c>
      <c r="K36" s="25">
        <v>0</v>
      </c>
      <c r="L36" s="25">
        <v>0</v>
      </c>
      <c r="M36" s="26">
        <f>IF(G36&gt;0,J36/G36,0)</f>
      </c>
    </row>
    <row r="37" ht="14.4" customHeight="1">
      <c r="A37" s="21" t="str">
        <v/>
      </c>
      <c r="B37" s="22" t="str">
        <v>2.6.3.2.3.3     EQUIPOS DE TELECOMUNICACIONES</v>
      </c>
      <c r="C37" s="23" t="str">
        <v/>
      </c>
      <c r="D37" s="24">
        <v>1200</v>
      </c>
      <c r="E37" s="24">
        <v>0</v>
      </c>
      <c r="F37" s="24">
        <v>1200</v>
      </c>
      <c r="G37" s="25">
        <v>0</v>
      </c>
      <c r="H37" s="25">
        <v>0</v>
      </c>
      <c r="I37" s="25">
        <v>0</v>
      </c>
      <c r="J37" s="25">
        <v>0</v>
      </c>
      <c r="K37" s="25">
        <v>0</v>
      </c>
      <c r="L37" s="25">
        <v>0</v>
      </c>
      <c r="M37" s="26">
        <f>IF(G37&gt;0,J37/G37,0)</f>
      </c>
    </row>
    <row r="38" ht="14.4" customHeight="1">
      <c r="A38" s="15" t="str">
        <v>0004</v>
      </c>
      <c r="B38" s="16" t="str">
        <v>EDUCACION Y SENSIBILIZACION A LA POBLACION EN MATERIA DE RESIDUOS SOLIDOS</v>
      </c>
      <c r="C38" s="17" t="str">
        <v/>
      </c>
      <c r="D38" s="18">
        <v>10000</v>
      </c>
      <c r="E38" s="18">
        <v>2890</v>
      </c>
      <c r="F38" s="18">
        <v>12890</v>
      </c>
      <c r="G38" s="19">
        <v>1610</v>
      </c>
      <c r="H38" s="19">
        <v>1610</v>
      </c>
      <c r="I38" s="19">
        <v>1610</v>
      </c>
      <c r="J38" s="19">
        <v>1610</v>
      </c>
      <c r="K38" s="19">
        <v>1610</v>
      </c>
      <c r="L38" s="19">
        <v>1610</v>
      </c>
      <c r="M38" s="20">
        <f>IF(G38&gt;0,J38/G38,0)</f>
      </c>
    </row>
    <row r="39" ht="14.4" customHeight="1">
      <c r="A39" s="15" t="str">
        <v/>
      </c>
      <c r="B39" s="16" t="str">
        <v>07 FONDO DE COMPENSACION MUNICIPAL</v>
      </c>
      <c r="C39" s="17" t="str">
        <v/>
      </c>
      <c r="D39" s="18">
        <v>10000</v>
      </c>
      <c r="E39" s="18">
        <v>2890</v>
      </c>
      <c r="F39" s="18">
        <v>12890</v>
      </c>
      <c r="G39" s="19">
        <v>1610</v>
      </c>
      <c r="H39" s="19">
        <v>1610</v>
      </c>
      <c r="I39" s="19">
        <v>1610</v>
      </c>
      <c r="J39" s="19">
        <v>1610</v>
      </c>
      <c r="K39" s="19">
        <v>1610</v>
      </c>
      <c r="L39" s="19">
        <v>1610</v>
      </c>
      <c r="M39" s="20">
        <f>IF(G39&gt;0,J39/G39,0)</f>
      </c>
    </row>
    <row r="40" ht="14.4" customHeight="1">
      <c r="A40" s="21" t="str">
        <v/>
      </c>
      <c r="B40" s="22" t="str">
        <v>2.3.1.10.1.1     SUMINISTROS DE USO ZOOTECNICO</v>
      </c>
      <c r="C40" s="23" t="str">
        <v/>
      </c>
      <c r="D40" s="24">
        <v>0</v>
      </c>
      <c r="E40" s="24">
        <v>0</v>
      </c>
      <c r="F40" s="24">
        <v>0</v>
      </c>
      <c r="G40" s="25">
        <v>0</v>
      </c>
      <c r="H40" s="25">
        <v>0</v>
      </c>
      <c r="I40" s="25">
        <v>0</v>
      </c>
      <c r="J40" s="25">
        <v>0</v>
      </c>
      <c r="K40" s="25">
        <v>0</v>
      </c>
      <c r="L40" s="25">
        <v>0</v>
      </c>
      <c r="M40" s="26">
        <f>IF(G40&gt;0,J40/G40,0)</f>
      </c>
    </row>
    <row r="41" ht="14.4" customHeight="1">
      <c r="A41" s="21" t="str">
        <v/>
      </c>
      <c r="B41" s="22" t="str">
        <v>2.3.1.2.1.1     VESTUARIO, ACCESORIOS Y PRENDAS DIVERSAS</v>
      </c>
      <c r="C41" s="23" t="str">
        <v/>
      </c>
      <c r="D41" s="24">
        <v>0</v>
      </c>
      <c r="E41" s="24">
        <v>2000</v>
      </c>
      <c r="F41" s="24">
        <v>2000</v>
      </c>
      <c r="G41" s="25">
        <v>0</v>
      </c>
      <c r="H41" s="25">
        <v>0</v>
      </c>
      <c r="I41" s="25">
        <v>0</v>
      </c>
      <c r="J41" s="25">
        <v>0</v>
      </c>
      <c r="K41" s="25">
        <v>0</v>
      </c>
      <c r="L41" s="25">
        <v>0</v>
      </c>
      <c r="M41" s="26">
        <f>IF(G41&gt;0,J41/G41,0)</f>
      </c>
    </row>
    <row r="42" ht="14.4" customHeight="1">
      <c r="A42" s="21" t="str">
        <v/>
      </c>
      <c r="B42" s="22" t="str">
        <v>2.3.1.5.1.2     PAPELERIA EN GENERAL, UTILES Y MATERIALES DE OFICINA</v>
      </c>
      <c r="C42" s="23" t="str">
        <v/>
      </c>
      <c r="D42" s="24">
        <v>1000</v>
      </c>
      <c r="E42" s="24">
        <v>0</v>
      </c>
      <c r="F42" s="24">
        <v>1000</v>
      </c>
      <c r="G42" s="25">
        <v>0</v>
      </c>
      <c r="H42" s="25">
        <v>0</v>
      </c>
      <c r="I42" s="25">
        <v>0</v>
      </c>
      <c r="J42" s="25">
        <v>0</v>
      </c>
      <c r="K42" s="25">
        <v>0</v>
      </c>
      <c r="L42" s="25">
        <v>0</v>
      </c>
      <c r="M42" s="26">
        <f>IF(G42&gt;0,J42/G42,0)</f>
      </c>
    </row>
    <row r="43" ht="14.4" customHeight="1">
      <c r="A43" s="21" t="str">
        <v/>
      </c>
      <c r="B43" s="22" t="str">
        <v>2.3.1.5.3.1     ASEO, LIMPIEZA Y TOCADOR</v>
      </c>
      <c r="C43" s="23" t="str">
        <v/>
      </c>
      <c r="D43" s="24">
        <v>2000</v>
      </c>
      <c r="E43" s="24">
        <v>0</v>
      </c>
      <c r="F43" s="24">
        <v>2000</v>
      </c>
      <c r="G43" s="25">
        <v>0</v>
      </c>
      <c r="H43" s="25">
        <v>0</v>
      </c>
      <c r="I43" s="25">
        <v>0</v>
      </c>
      <c r="J43" s="25">
        <v>0</v>
      </c>
      <c r="K43" s="25">
        <v>0</v>
      </c>
      <c r="L43" s="25">
        <v>0</v>
      </c>
      <c r="M43" s="26">
        <f>IF(G43&gt;0,J43/G43,0)</f>
      </c>
    </row>
    <row r="44" ht="14.4" customHeight="1">
      <c r="A44" s="21" t="str">
        <v/>
      </c>
      <c r="B44" s="22" t="str">
        <v>2.3.1.9.1.99     OTROS MATERIALES DIVERSOS DE ENSEÑANZA</v>
      </c>
      <c r="C44" s="23" t="str">
        <v/>
      </c>
      <c r="D44" s="24">
        <v>2000</v>
      </c>
      <c r="E44" s="24">
        <v>-2000</v>
      </c>
      <c r="F44" s="24">
        <v>0</v>
      </c>
      <c r="G44" s="25">
        <v>0</v>
      </c>
      <c r="H44" s="25">
        <v>0</v>
      </c>
      <c r="I44" s="25">
        <v>0</v>
      </c>
      <c r="J44" s="25">
        <v>0</v>
      </c>
      <c r="K44" s="25">
        <v>0</v>
      </c>
      <c r="L44" s="25">
        <v>0</v>
      </c>
      <c r="M44" s="26">
        <f>IF(G44&gt;0,J44/G44,0)</f>
      </c>
    </row>
    <row r="45" ht="14.4" customHeight="1">
      <c r="A45" s="21" t="str">
        <v/>
      </c>
      <c r="B45" s="22" t="str">
        <v>2.3.1.99.1.4     SIMBOLOS, DISTINTIVOS Y CONDECORACIONES</v>
      </c>
      <c r="C45" s="23" t="str">
        <v/>
      </c>
      <c r="D45" s="24">
        <v>0</v>
      </c>
      <c r="E45" s="24">
        <v>1000</v>
      </c>
      <c r="F45" s="24">
        <v>1000</v>
      </c>
      <c r="G45" s="25">
        <v>0</v>
      </c>
      <c r="H45" s="25">
        <v>0</v>
      </c>
      <c r="I45" s="25">
        <v>0</v>
      </c>
      <c r="J45" s="25">
        <v>0</v>
      </c>
      <c r="K45" s="25">
        <v>0</v>
      </c>
      <c r="L45" s="25">
        <v>0</v>
      </c>
      <c r="M45" s="26">
        <f>IF(G45&gt;0,J45/G45,0)</f>
      </c>
    </row>
    <row r="46" ht="14.4" customHeight="1">
      <c r="A46" s="21" t="str">
        <v/>
      </c>
      <c r="B46" s="22" t="str">
        <v>2.3.2.6.3.3     SEGURO OBLIGATORIO ACCIDENTES DE TRANSITO (SOAT)</v>
      </c>
      <c r="C46" s="23" t="str">
        <v/>
      </c>
      <c r="D46" s="24">
        <v>1528</v>
      </c>
      <c r="E46" s="24">
        <v>0</v>
      </c>
      <c r="F46" s="24">
        <v>1528</v>
      </c>
      <c r="G46" s="25">
        <v>0</v>
      </c>
      <c r="H46" s="25">
        <v>0</v>
      </c>
      <c r="I46" s="25">
        <v>0</v>
      </c>
      <c r="J46" s="25">
        <v>0</v>
      </c>
      <c r="K46" s="25">
        <v>0</v>
      </c>
      <c r="L46" s="25">
        <v>0</v>
      </c>
      <c r="M46" s="26">
        <f>IF(G46&gt;0,J46/G46,0)</f>
      </c>
    </row>
    <row r="47" ht="14.4" customHeight="1">
      <c r="A47" s="21" t="str">
        <v/>
      </c>
      <c r="B47" s="22" t="str">
        <v>2.3.2.7.11.5     SERVICIOS DE ALIMENTACION DE CONSUMO HUMANO</v>
      </c>
      <c r="C47" s="23" t="str">
        <v/>
      </c>
      <c r="D47" s="24">
        <v>2000</v>
      </c>
      <c r="E47" s="24">
        <v>1890</v>
      </c>
      <c r="F47" s="24">
        <v>3890</v>
      </c>
      <c r="G47" s="25">
        <v>138</v>
      </c>
      <c r="H47" s="25">
        <v>138</v>
      </c>
      <c r="I47" s="25">
        <v>138</v>
      </c>
      <c r="J47" s="25">
        <v>138</v>
      </c>
      <c r="K47" s="25">
        <v>138</v>
      </c>
      <c r="L47" s="25">
        <v>138</v>
      </c>
      <c r="M47" s="26">
        <f>IF(G47&gt;0,J47/G47,0)</f>
      </c>
    </row>
    <row r="48" ht="14.4" customHeight="1">
      <c r="A48" s="21" t="str">
        <v/>
      </c>
      <c r="B48" s="22" t="str">
        <v>2.3.2.7.11.6     SERVICIO DE IMPRESIONES, ENCUADERNACION Y EMPASTADO</v>
      </c>
      <c r="C48" s="23" t="str">
        <v/>
      </c>
      <c r="D48" s="24">
        <v>1000</v>
      </c>
      <c r="E48" s="24">
        <v>0</v>
      </c>
      <c r="F48" s="24">
        <v>1000</v>
      </c>
      <c r="G48" s="25">
        <v>1000</v>
      </c>
      <c r="H48" s="25">
        <v>1000</v>
      </c>
      <c r="I48" s="25">
        <v>1000</v>
      </c>
      <c r="J48" s="25">
        <v>1000</v>
      </c>
      <c r="K48" s="25">
        <v>1000</v>
      </c>
      <c r="L48" s="25">
        <v>1000</v>
      </c>
      <c r="M48" s="26">
        <f>IF(G48&gt;0,J48/G48,0)</f>
      </c>
    </row>
    <row r="49" ht="14.4" customHeight="1">
      <c r="A49" s="21" t="str">
        <v/>
      </c>
      <c r="B49" s="22" t="str">
        <v>2.3.2.7.11.99     SERVICIOS DIVERSOS</v>
      </c>
      <c r="C49" s="23" t="str">
        <v/>
      </c>
      <c r="D49" s="24">
        <v>472</v>
      </c>
      <c r="E49" s="24">
        <v>0</v>
      </c>
      <c r="F49" s="24">
        <v>472</v>
      </c>
      <c r="G49" s="25">
        <v>472</v>
      </c>
      <c r="H49" s="25">
        <v>472</v>
      </c>
      <c r="I49" s="25">
        <v>472</v>
      </c>
      <c r="J49" s="25">
        <v>472</v>
      </c>
      <c r="K49" s="25">
        <v>472</v>
      </c>
      <c r="L49" s="25">
        <v>472</v>
      </c>
      <c r="M49" s="26">
        <f>IF(G49&gt;0,J49/G49,0)</f>
      </c>
    </row>
    <row r="50" ht="14.4" customHeight="1">
      <c r="A50" s="15" t="str">
        <v>0005</v>
      </c>
      <c r="B50" s="16" t="str">
        <v>ALMACENAMIENTO, BARRIDO DE CALLES Y LIMPIEZA DE ESPACIOS PUBLICOS</v>
      </c>
      <c r="C50" s="17" t="str">
        <v/>
      </c>
      <c r="D50" s="18">
        <v>1073461</v>
      </c>
      <c r="E50" s="18">
        <v>-37000</v>
      </c>
      <c r="F50" s="18">
        <v>1036461</v>
      </c>
      <c r="G50" s="19">
        <v>122379</v>
      </c>
      <c r="H50" s="19">
        <v>122375</v>
      </c>
      <c r="I50" s="19">
        <v>219805</v>
      </c>
      <c r="J50" s="19">
        <v>219805</v>
      </c>
      <c r="K50" s="19">
        <v>219805</v>
      </c>
      <c r="L50" s="19">
        <v>219805</v>
      </c>
      <c r="M50" s="20">
        <f>IF(G50&gt;0,J50/G50,0)</f>
      </c>
    </row>
    <row r="51" ht="14.4" customHeight="1">
      <c r="A51" s="15" t="str">
        <v/>
      </c>
      <c r="B51" s="16" t="str">
        <v>07 FONDO DE COMPENSACION MUNICIPAL</v>
      </c>
      <c r="C51" s="17" t="str">
        <v/>
      </c>
      <c r="D51" s="18">
        <v>1073461</v>
      </c>
      <c r="E51" s="18">
        <v>-37000</v>
      </c>
      <c r="F51" s="18">
        <v>1036461</v>
      </c>
      <c r="G51" s="19">
        <v>122379</v>
      </c>
      <c r="H51" s="19">
        <v>122375</v>
      </c>
      <c r="I51" s="19">
        <v>219805</v>
      </c>
      <c r="J51" s="19">
        <v>219805</v>
      </c>
      <c r="K51" s="19">
        <v>219805</v>
      </c>
      <c r="L51" s="19">
        <v>219805</v>
      </c>
      <c r="M51" s="20">
        <f>IF(G51&gt;0,J51/G51,0)</f>
      </c>
    </row>
    <row r="52" ht="14.4" customHeight="1">
      <c r="A52" s="21" t="str">
        <v/>
      </c>
      <c r="B52" s="22" t="str">
        <v>2.3.1.11.1.6     MATERIALES DE  ACONDICIONAMIENTO</v>
      </c>
      <c r="C52" s="23" t="str">
        <v/>
      </c>
      <c r="D52" s="24">
        <v>2200</v>
      </c>
      <c r="E52" s="24">
        <v>0</v>
      </c>
      <c r="F52" s="24">
        <v>2200</v>
      </c>
      <c r="G52" s="25">
        <v>0</v>
      </c>
      <c r="H52" s="25">
        <v>0</v>
      </c>
      <c r="I52" s="25">
        <v>0</v>
      </c>
      <c r="J52" s="25">
        <v>0</v>
      </c>
      <c r="K52" s="25">
        <v>0</v>
      </c>
      <c r="L52" s="25">
        <v>0</v>
      </c>
      <c r="M52" s="26">
        <f>IF(G52&gt;0,J52/G52,0)</f>
      </c>
    </row>
    <row r="53" ht="14.4" customHeight="1">
      <c r="A53" s="21" t="str">
        <v/>
      </c>
      <c r="B53" s="22" t="str">
        <v>2.3.1.2.1.1     VESTUARIO, ACCESORIOS Y PRENDAS DIVERSAS</v>
      </c>
      <c r="C53" s="23" t="str">
        <v/>
      </c>
      <c r="D53" s="24">
        <v>27300</v>
      </c>
      <c r="E53" s="24">
        <v>8000</v>
      </c>
      <c r="F53" s="24">
        <v>35300</v>
      </c>
      <c r="G53" s="25">
        <v>0</v>
      </c>
      <c r="H53" s="25">
        <v>0</v>
      </c>
      <c r="I53" s="25">
        <v>0</v>
      </c>
      <c r="J53" s="25">
        <v>0</v>
      </c>
      <c r="K53" s="25">
        <v>0</v>
      </c>
      <c r="L53" s="25">
        <v>0</v>
      </c>
      <c r="M53" s="26">
        <f>IF(G53&gt;0,J53/G53,0)</f>
      </c>
    </row>
    <row r="54" ht="14.4" customHeight="1">
      <c r="A54" s="21" t="str">
        <v/>
      </c>
      <c r="B54" s="22" t="str">
        <v>2.3.1.2.1.3     CALZADO</v>
      </c>
      <c r="C54" s="23" t="str">
        <v/>
      </c>
      <c r="D54" s="24">
        <v>10475</v>
      </c>
      <c r="E54" s="24">
        <v>0</v>
      </c>
      <c r="F54" s="24">
        <v>10475</v>
      </c>
      <c r="G54" s="25">
        <v>0</v>
      </c>
      <c r="H54" s="25">
        <v>0</v>
      </c>
      <c r="I54" s="25">
        <v>0</v>
      </c>
      <c r="J54" s="25">
        <v>0</v>
      </c>
      <c r="K54" s="25">
        <v>0</v>
      </c>
      <c r="L54" s="25">
        <v>0</v>
      </c>
      <c r="M54" s="26">
        <f>IF(G54&gt;0,J54/G54,0)</f>
      </c>
    </row>
    <row r="55" ht="14.4" customHeight="1">
      <c r="A55" s="21" t="str">
        <v/>
      </c>
      <c r="B55" s="22" t="str">
        <v>2.3.1.3.1.3     LUBRICANTES, GRASAS Y AFINES</v>
      </c>
      <c r="C55" s="23" t="str">
        <v/>
      </c>
      <c r="D55" s="24">
        <v>600</v>
      </c>
      <c r="E55" s="24">
        <v>0</v>
      </c>
      <c r="F55" s="24">
        <v>600</v>
      </c>
      <c r="G55" s="25">
        <v>0</v>
      </c>
      <c r="H55" s="25">
        <v>0</v>
      </c>
      <c r="I55" s="25">
        <v>0</v>
      </c>
      <c r="J55" s="25">
        <v>0</v>
      </c>
      <c r="K55" s="25">
        <v>0</v>
      </c>
      <c r="L55" s="25">
        <v>0</v>
      </c>
      <c r="M55" s="26">
        <f>IF(G55&gt;0,J55/G55,0)</f>
      </c>
    </row>
    <row r="56" ht="14.4" customHeight="1">
      <c r="A56" s="21" t="str">
        <v/>
      </c>
      <c r="B56" s="22" t="str">
        <v>2.3.1.5.1.2     PAPELERIA EN GENERAL, UTILES Y MATERIALES DE OFICINA</v>
      </c>
      <c r="C56" s="23" t="str">
        <v/>
      </c>
      <c r="D56" s="24">
        <v>1000</v>
      </c>
      <c r="E56" s="24">
        <v>0</v>
      </c>
      <c r="F56" s="24">
        <v>1000</v>
      </c>
      <c r="G56" s="25">
        <v>0</v>
      </c>
      <c r="H56" s="25">
        <v>0</v>
      </c>
      <c r="I56" s="25">
        <v>0</v>
      </c>
      <c r="J56" s="25">
        <v>0</v>
      </c>
      <c r="K56" s="25">
        <v>0</v>
      </c>
      <c r="L56" s="25">
        <v>0</v>
      </c>
      <c r="M56" s="26">
        <f>IF(G56&gt;0,J56/G56,0)</f>
      </c>
    </row>
    <row r="57" ht="14.4" customHeight="1">
      <c r="A57" s="21" t="str">
        <v/>
      </c>
      <c r="B57" s="22" t="str">
        <v>2.3.1.5.2.1     AGROPECUARIO, GANADERO Y DE JARDINERIA</v>
      </c>
      <c r="C57" s="23" t="str">
        <v/>
      </c>
      <c r="D57" s="24">
        <v>16000</v>
      </c>
      <c r="E57" s="24">
        <v>3500</v>
      </c>
      <c r="F57" s="24">
        <v>19500</v>
      </c>
      <c r="G57" s="25">
        <v>0</v>
      </c>
      <c r="H57" s="25">
        <v>0</v>
      </c>
      <c r="I57" s="25">
        <v>0</v>
      </c>
      <c r="J57" s="25">
        <v>0</v>
      </c>
      <c r="K57" s="25">
        <v>0</v>
      </c>
      <c r="L57" s="25">
        <v>0</v>
      </c>
      <c r="M57" s="26">
        <f>IF(G57&gt;0,J57/G57,0)</f>
      </c>
    </row>
    <row r="58" ht="14.4" customHeight="1">
      <c r="A58" s="21" t="str">
        <v/>
      </c>
      <c r="B58" s="22" t="str">
        <v>2.3.1.5.3.1     ASEO, LIMPIEZA Y TOCADOR</v>
      </c>
      <c r="C58" s="23" t="str">
        <v/>
      </c>
      <c r="D58" s="24">
        <v>20720</v>
      </c>
      <c r="E58" s="24">
        <v>12500</v>
      </c>
      <c r="F58" s="24">
        <v>33220</v>
      </c>
      <c r="G58" s="25">
        <v>0</v>
      </c>
      <c r="H58" s="25">
        <v>0</v>
      </c>
      <c r="I58" s="25">
        <v>0</v>
      </c>
      <c r="J58" s="25">
        <v>0</v>
      </c>
      <c r="K58" s="25">
        <v>0</v>
      </c>
      <c r="L58" s="25">
        <v>0</v>
      </c>
      <c r="M58" s="26">
        <f>IF(G58&gt;0,J58/G58,0)</f>
      </c>
    </row>
    <row r="59" ht="14.4" customHeight="1">
      <c r="A59" s="21" t="str">
        <v/>
      </c>
      <c r="B59" s="22" t="str">
        <v>2.3.1.5.4.1     ELECTRICIDAD, ILUMINACION Y ELECTRONICA</v>
      </c>
      <c r="C59" s="23" t="str">
        <v/>
      </c>
      <c r="D59" s="24">
        <v>7800</v>
      </c>
      <c r="E59" s="24">
        <v>0</v>
      </c>
      <c r="F59" s="24">
        <v>7800</v>
      </c>
      <c r="G59" s="25">
        <v>0</v>
      </c>
      <c r="H59" s="25">
        <v>0</v>
      </c>
      <c r="I59" s="25">
        <v>0</v>
      </c>
      <c r="J59" s="25">
        <v>0</v>
      </c>
      <c r="K59" s="25">
        <v>0</v>
      </c>
      <c r="L59" s="25">
        <v>0</v>
      </c>
      <c r="M59" s="26">
        <f>IF(G59&gt;0,J59/G59,0)</f>
      </c>
    </row>
    <row r="60" ht="14.4" customHeight="1">
      <c r="A60" s="21" t="str">
        <v/>
      </c>
      <c r="B60" s="22" t="str">
        <v>2.3.1.6.1.3     DE CONSTRUCCION Y MAQUINAS</v>
      </c>
      <c r="C60" s="23" t="str">
        <v/>
      </c>
      <c r="D60" s="24">
        <v>30680</v>
      </c>
      <c r="E60" s="24">
        <v>0</v>
      </c>
      <c r="F60" s="24">
        <v>30680</v>
      </c>
      <c r="G60" s="25">
        <v>0</v>
      </c>
      <c r="H60" s="25">
        <v>0</v>
      </c>
      <c r="I60" s="25">
        <v>0</v>
      </c>
      <c r="J60" s="25">
        <v>0</v>
      </c>
      <c r="K60" s="25">
        <v>0</v>
      </c>
      <c r="L60" s="25">
        <v>0</v>
      </c>
      <c r="M60" s="26">
        <f>IF(G60&gt;0,J60/G60,0)</f>
      </c>
    </row>
    <row r="61" ht="14.4" customHeight="1">
      <c r="A61" s="21" t="str">
        <v/>
      </c>
      <c r="B61" s="22" t="str">
        <v>2.3.1.6.1.4     DE SEGURIDAD</v>
      </c>
      <c r="C61" s="23" t="str">
        <v/>
      </c>
      <c r="D61" s="24">
        <v>30163</v>
      </c>
      <c r="E61" s="24">
        <v>0</v>
      </c>
      <c r="F61" s="24">
        <v>30163</v>
      </c>
      <c r="G61" s="25">
        <v>0</v>
      </c>
      <c r="H61" s="25">
        <v>0</v>
      </c>
      <c r="I61" s="25">
        <v>0</v>
      </c>
      <c r="J61" s="25">
        <v>0</v>
      </c>
      <c r="K61" s="25">
        <v>0</v>
      </c>
      <c r="L61" s="25">
        <v>0</v>
      </c>
      <c r="M61" s="26">
        <f>IF(G61&gt;0,J61/G61,0)</f>
      </c>
    </row>
    <row r="62" ht="14.4" customHeight="1">
      <c r="A62" s="21" t="str">
        <v/>
      </c>
      <c r="B62" s="22" t="str">
        <v>2.3.1.6.1.99     OTROS ACCESORIOS Y REPUESTOS</v>
      </c>
      <c r="C62" s="23" t="str">
        <v/>
      </c>
      <c r="D62" s="24">
        <v>4080</v>
      </c>
      <c r="E62" s="24">
        <v>0</v>
      </c>
      <c r="F62" s="24">
        <v>4080</v>
      </c>
      <c r="G62" s="25">
        <v>0</v>
      </c>
      <c r="H62" s="25">
        <v>0</v>
      </c>
      <c r="I62" s="25">
        <v>0</v>
      </c>
      <c r="J62" s="25">
        <v>0</v>
      </c>
      <c r="K62" s="25">
        <v>0</v>
      </c>
      <c r="L62" s="25">
        <v>0</v>
      </c>
      <c r="M62" s="26">
        <f>IF(G62&gt;0,J62/G62,0)</f>
      </c>
    </row>
    <row r="63" ht="14.4" customHeight="1">
      <c r="A63" s="21" t="str">
        <v/>
      </c>
      <c r="B63" s="22" t="str">
        <v>2.3.1.7.1.1     ENSERES</v>
      </c>
      <c r="C63" s="23" t="str">
        <v/>
      </c>
      <c r="D63" s="24">
        <v>10000</v>
      </c>
      <c r="E63" s="24">
        <v>-2500</v>
      </c>
      <c r="F63" s="24">
        <v>7500</v>
      </c>
      <c r="G63" s="25">
        <v>0</v>
      </c>
      <c r="H63" s="25">
        <v>0</v>
      </c>
      <c r="I63" s="25">
        <v>0</v>
      </c>
      <c r="J63" s="25">
        <v>0</v>
      </c>
      <c r="K63" s="25">
        <v>0</v>
      </c>
      <c r="L63" s="25">
        <v>0</v>
      </c>
      <c r="M63" s="26">
        <f>IF(G63&gt;0,J63/G63,0)</f>
      </c>
    </row>
    <row r="64" ht="14.4" customHeight="1">
      <c r="A64" s="21" t="str">
        <v/>
      </c>
      <c r="B64" s="22" t="str">
        <v>2.3.1.8.1.2     MEDICAMENTOS</v>
      </c>
      <c r="C64" s="23" t="str">
        <v/>
      </c>
      <c r="D64" s="24">
        <v>3000</v>
      </c>
      <c r="E64" s="24">
        <v>0</v>
      </c>
      <c r="F64" s="24">
        <v>3000</v>
      </c>
      <c r="G64" s="25">
        <v>0</v>
      </c>
      <c r="H64" s="25">
        <v>0</v>
      </c>
      <c r="I64" s="25">
        <v>0</v>
      </c>
      <c r="J64" s="25">
        <v>0</v>
      </c>
      <c r="K64" s="25">
        <v>0</v>
      </c>
      <c r="L64" s="25">
        <v>0</v>
      </c>
      <c r="M64" s="26">
        <f>IF(G64&gt;0,J64/G64,0)</f>
      </c>
    </row>
    <row r="65" ht="14.4" customHeight="1">
      <c r="A65" s="21" t="str">
        <v/>
      </c>
      <c r="B65" s="22" t="str">
        <v>2.3.1.9.1.99     OTROS MATERIALES DIVERSOS DE ENSEÑANZA</v>
      </c>
      <c r="C65" s="23" t="str">
        <v/>
      </c>
      <c r="D65" s="24">
        <v>600</v>
      </c>
      <c r="E65" s="24">
        <v>2500</v>
      </c>
      <c r="F65" s="24">
        <v>3100</v>
      </c>
      <c r="G65" s="25">
        <v>0</v>
      </c>
      <c r="H65" s="25">
        <v>0</v>
      </c>
      <c r="I65" s="25">
        <v>0</v>
      </c>
      <c r="J65" s="25">
        <v>0</v>
      </c>
      <c r="K65" s="25">
        <v>0</v>
      </c>
      <c r="L65" s="25">
        <v>0</v>
      </c>
      <c r="M65" s="26">
        <f>IF(G65&gt;0,J65/G65,0)</f>
      </c>
    </row>
    <row r="66" ht="14.4" customHeight="1">
      <c r="A66" s="21" t="str">
        <v/>
      </c>
      <c r="B66" s="22" t="str">
        <v>2.3.1.99.1.1     HERRAMIENTAS</v>
      </c>
      <c r="C66" s="23" t="str">
        <v/>
      </c>
      <c r="D66" s="24">
        <v>34323</v>
      </c>
      <c r="E66" s="24">
        <v>-10000</v>
      </c>
      <c r="F66" s="24">
        <v>24323</v>
      </c>
      <c r="G66" s="25">
        <v>0</v>
      </c>
      <c r="H66" s="25">
        <v>0</v>
      </c>
      <c r="I66" s="25">
        <v>0</v>
      </c>
      <c r="J66" s="25">
        <v>0</v>
      </c>
      <c r="K66" s="25">
        <v>0</v>
      </c>
      <c r="L66" s="25">
        <v>0</v>
      </c>
      <c r="M66" s="26">
        <f>IF(G66&gt;0,J66/G66,0)</f>
      </c>
    </row>
    <row r="67" ht="14.4" customHeight="1">
      <c r="A67" s="21" t="str">
        <v/>
      </c>
      <c r="B67" s="22" t="str">
        <v>2.3.1.99.1.2     PRODUCTOS QUIMICOS</v>
      </c>
      <c r="C67" s="23" t="str">
        <v/>
      </c>
      <c r="D67" s="24">
        <v>3375</v>
      </c>
      <c r="E67" s="24">
        <v>0</v>
      </c>
      <c r="F67" s="24">
        <v>3375</v>
      </c>
      <c r="G67" s="25">
        <v>0</v>
      </c>
      <c r="H67" s="25">
        <v>0</v>
      </c>
      <c r="I67" s="25">
        <v>0</v>
      </c>
      <c r="J67" s="25">
        <v>0</v>
      </c>
      <c r="K67" s="25">
        <v>0</v>
      </c>
      <c r="L67" s="25">
        <v>0</v>
      </c>
      <c r="M67" s="26">
        <f>IF(G67&gt;0,J67/G67,0)</f>
      </c>
    </row>
    <row r="68" ht="14.4" customHeight="1">
      <c r="A68" s="21" t="str">
        <v/>
      </c>
      <c r="B68" s="22" t="str">
        <v>2.3.1.99.1.99     OTROS BIENES</v>
      </c>
      <c r="C68" s="23" t="str">
        <v/>
      </c>
      <c r="D68" s="24">
        <v>89745</v>
      </c>
      <c r="E68" s="24">
        <v>-42000</v>
      </c>
      <c r="F68" s="24">
        <v>47745</v>
      </c>
      <c r="G68" s="25">
        <v>0</v>
      </c>
      <c r="H68" s="25">
        <v>0</v>
      </c>
      <c r="I68" s="25">
        <v>0</v>
      </c>
      <c r="J68" s="25">
        <v>0</v>
      </c>
      <c r="K68" s="25">
        <v>0</v>
      </c>
      <c r="L68" s="25">
        <v>0</v>
      </c>
      <c r="M68" s="26">
        <f>IF(G68&gt;0,J68/G68,0)</f>
      </c>
    </row>
    <row r="69" ht="14.4" customHeight="1">
      <c r="A69" s="21" t="str">
        <v/>
      </c>
      <c r="B69" s="22" t="str">
        <v>2.3.2.7.11.99     SERVICIOS DIVERSOS</v>
      </c>
      <c r="C69" s="23" t="str">
        <v/>
      </c>
      <c r="D69" s="24">
        <v>722400</v>
      </c>
      <c r="E69" s="24">
        <v>0</v>
      </c>
      <c r="F69" s="24">
        <v>722400</v>
      </c>
      <c r="G69" s="25">
        <v>122379</v>
      </c>
      <c r="H69" s="25">
        <v>122375</v>
      </c>
      <c r="I69" s="25">
        <v>219805</v>
      </c>
      <c r="J69" s="25">
        <v>219805</v>
      </c>
      <c r="K69" s="25">
        <v>219805</v>
      </c>
      <c r="L69" s="25">
        <v>219805</v>
      </c>
      <c r="M69" s="26">
        <f>IF(G69&gt;0,J69/G69,0)</f>
      </c>
    </row>
    <row r="70" ht="14.4" customHeight="1">
      <c r="A70" s="21" t="str">
        <v/>
      </c>
      <c r="B70" s="22" t="str">
        <v>2.3.2.9.1.1     LOCACIÓN DE SERVICIOS REALIZADOS POR PERSONA NATURAL</v>
      </c>
      <c r="C70" s="23" t="str">
        <v/>
      </c>
      <c r="D70" s="24">
        <v>59000</v>
      </c>
      <c r="E70" s="24">
        <v>-9000</v>
      </c>
      <c r="F70" s="24">
        <v>50000</v>
      </c>
      <c r="G70" s="25">
        <v>0</v>
      </c>
      <c r="H70" s="25">
        <v>0</v>
      </c>
      <c r="I70" s="25">
        <v>0</v>
      </c>
      <c r="J70" s="25">
        <v>0</v>
      </c>
      <c r="K70" s="25">
        <v>0</v>
      </c>
      <c r="L70" s="25">
        <v>0</v>
      </c>
      <c r="M70" s="26">
        <f>IF(G70&gt;0,J70/G70,0)</f>
      </c>
    </row>
    <row r="71" ht="14.4" customHeight="1">
      <c r="A71" s="15" t="str">
        <v>0006</v>
      </c>
      <c r="B71" s="16" t="str">
        <v>RECOLECCION Y TRANSPORTE DE RESIDUOS SOLIDOS MUNICIPALES</v>
      </c>
      <c r="C71" s="17" t="str">
        <v/>
      </c>
      <c r="D71" s="18">
        <v>684501</v>
      </c>
      <c r="E71" s="18">
        <v>0</v>
      </c>
      <c r="F71" s="18">
        <v>684501</v>
      </c>
      <c r="G71" s="19">
        <v>68666</v>
      </c>
      <c r="H71" s="19">
        <v>68666</v>
      </c>
      <c r="I71" s="19">
        <v>126440</v>
      </c>
      <c r="J71" s="19">
        <v>126440</v>
      </c>
      <c r="K71" s="19">
        <v>88072</v>
      </c>
      <c r="L71" s="19">
        <v>88072</v>
      </c>
      <c r="M71" s="20">
        <f>IF(G71&gt;0,J71/G71,0)</f>
      </c>
    </row>
    <row r="72" ht="14.4" customHeight="1">
      <c r="A72" s="15" t="str">
        <v/>
      </c>
      <c r="B72" s="16" t="str">
        <v>07 FONDO DE COMPENSACION MUNICIPAL</v>
      </c>
      <c r="C72" s="17" t="str">
        <v/>
      </c>
      <c r="D72" s="18">
        <v>538501</v>
      </c>
      <c r="E72" s="18">
        <v>0</v>
      </c>
      <c r="F72" s="18">
        <v>538501</v>
      </c>
      <c r="G72" s="19">
        <v>68666</v>
      </c>
      <c r="H72" s="19">
        <v>68666</v>
      </c>
      <c r="I72" s="19">
        <v>126440</v>
      </c>
      <c r="J72" s="19">
        <v>126440</v>
      </c>
      <c r="K72" s="19">
        <v>88072</v>
      </c>
      <c r="L72" s="19">
        <v>88072</v>
      </c>
      <c r="M72" s="20">
        <f>IF(G72&gt;0,J72/G72,0)</f>
      </c>
    </row>
    <row r="73" ht="14.4" customHeight="1">
      <c r="A73" s="21" t="str">
        <v/>
      </c>
      <c r="B73" s="22" t="str">
        <v>2.3.1.11.1.6     MATERIALES DE  ACONDICIONAMIENTO</v>
      </c>
      <c r="C73" s="23" t="str">
        <v/>
      </c>
      <c r="D73" s="24">
        <v>1445</v>
      </c>
      <c r="E73" s="24">
        <v>0</v>
      </c>
      <c r="F73" s="24">
        <v>1445</v>
      </c>
      <c r="G73" s="25">
        <v>0</v>
      </c>
      <c r="H73" s="25">
        <v>0</v>
      </c>
      <c r="I73" s="25">
        <v>0</v>
      </c>
      <c r="J73" s="25">
        <v>0</v>
      </c>
      <c r="K73" s="25">
        <v>0</v>
      </c>
      <c r="L73" s="25">
        <v>0</v>
      </c>
      <c r="M73" s="26">
        <f>IF(G73&gt;0,J73/G73,0)</f>
      </c>
    </row>
    <row r="74" ht="14.4" customHeight="1">
      <c r="A74" s="21" t="str">
        <v/>
      </c>
      <c r="B74" s="22" t="str">
        <v>2.3.1.2.1.1     VESTUARIO, ACCESORIOS Y PRENDAS DIVERSAS</v>
      </c>
      <c r="C74" s="23" t="str">
        <v/>
      </c>
      <c r="D74" s="24">
        <v>30396</v>
      </c>
      <c r="E74" s="24">
        <v>0</v>
      </c>
      <c r="F74" s="24">
        <v>30396</v>
      </c>
      <c r="G74" s="25">
        <v>0</v>
      </c>
      <c r="H74" s="25">
        <v>0</v>
      </c>
      <c r="I74" s="25">
        <v>0</v>
      </c>
      <c r="J74" s="25">
        <v>0</v>
      </c>
      <c r="K74" s="25">
        <v>0</v>
      </c>
      <c r="L74" s="25">
        <v>0</v>
      </c>
      <c r="M74" s="26">
        <f>IF(G74&gt;0,J74/G74,0)</f>
      </c>
    </row>
    <row r="75" ht="14.4" customHeight="1">
      <c r="A75" s="21" t="str">
        <v/>
      </c>
      <c r="B75" s="22" t="str">
        <v>2.3.1.2.1.3     CALZADO</v>
      </c>
      <c r="C75" s="23" t="str">
        <v/>
      </c>
      <c r="D75" s="24">
        <v>3600</v>
      </c>
      <c r="E75" s="24">
        <v>0</v>
      </c>
      <c r="F75" s="24">
        <v>3600</v>
      </c>
      <c r="G75" s="25">
        <v>0</v>
      </c>
      <c r="H75" s="25">
        <v>0</v>
      </c>
      <c r="I75" s="25">
        <v>0</v>
      </c>
      <c r="J75" s="25">
        <v>0</v>
      </c>
      <c r="K75" s="25">
        <v>0</v>
      </c>
      <c r="L75" s="25">
        <v>0</v>
      </c>
      <c r="M75" s="26">
        <f>IF(G75&gt;0,J75/G75,0)</f>
      </c>
    </row>
    <row r="76" ht="14.4" customHeight="1">
      <c r="A76" s="21" t="str">
        <v/>
      </c>
      <c r="B76" s="22" t="str">
        <v>2.3.1.3.1.3     LUBRICANTES, GRASAS Y AFINES</v>
      </c>
      <c r="C76" s="23" t="str">
        <v/>
      </c>
      <c r="D76" s="24">
        <v>390</v>
      </c>
      <c r="E76" s="24">
        <v>0</v>
      </c>
      <c r="F76" s="24">
        <v>390</v>
      </c>
      <c r="G76" s="25">
        <v>0</v>
      </c>
      <c r="H76" s="25">
        <v>0</v>
      </c>
      <c r="I76" s="25">
        <v>0</v>
      </c>
      <c r="J76" s="25">
        <v>0</v>
      </c>
      <c r="K76" s="25">
        <v>0</v>
      </c>
      <c r="L76" s="25">
        <v>0</v>
      </c>
      <c r="M76" s="26">
        <f>IF(G76&gt;0,J76/G76,0)</f>
      </c>
    </row>
    <row r="77" ht="14.4" customHeight="1">
      <c r="A77" s="21" t="str">
        <v/>
      </c>
      <c r="B77" s="22" t="str">
        <v>2.3.1.5.2.1     AGROPECUARIO, GANADERO Y DE JARDINERIA</v>
      </c>
      <c r="C77" s="23" t="str">
        <v/>
      </c>
      <c r="D77" s="24">
        <v>1120</v>
      </c>
      <c r="E77" s="24">
        <v>0</v>
      </c>
      <c r="F77" s="24">
        <v>1120</v>
      </c>
      <c r="G77" s="25">
        <v>0</v>
      </c>
      <c r="H77" s="25">
        <v>0</v>
      </c>
      <c r="I77" s="25">
        <v>0</v>
      </c>
      <c r="J77" s="25">
        <v>0</v>
      </c>
      <c r="K77" s="25">
        <v>0</v>
      </c>
      <c r="L77" s="25">
        <v>0</v>
      </c>
      <c r="M77" s="26">
        <f>IF(G77&gt;0,J77/G77,0)</f>
      </c>
    </row>
    <row r="78" ht="14.4" customHeight="1">
      <c r="A78" s="21" t="str">
        <v/>
      </c>
      <c r="B78" s="22" t="str">
        <v>2.3.1.5.3.1     ASEO, LIMPIEZA Y TOCADOR</v>
      </c>
      <c r="C78" s="23" t="str">
        <v/>
      </c>
      <c r="D78" s="24">
        <v>3607</v>
      </c>
      <c r="E78" s="24">
        <v>0</v>
      </c>
      <c r="F78" s="24">
        <v>3607</v>
      </c>
      <c r="G78" s="25">
        <v>0</v>
      </c>
      <c r="H78" s="25">
        <v>0</v>
      </c>
      <c r="I78" s="25">
        <v>0</v>
      </c>
      <c r="J78" s="25">
        <v>0</v>
      </c>
      <c r="K78" s="25">
        <v>0</v>
      </c>
      <c r="L78" s="25">
        <v>0</v>
      </c>
      <c r="M78" s="26">
        <f>IF(G78&gt;0,J78/G78,0)</f>
      </c>
    </row>
    <row r="79" ht="14.4" customHeight="1">
      <c r="A79" s="21" t="str">
        <v/>
      </c>
      <c r="B79" s="22" t="str">
        <v>2.3.1.5.4.1     ELECTRICIDAD, ILUMINACION Y ELECTRONICA</v>
      </c>
      <c r="C79" s="23" t="str">
        <v/>
      </c>
      <c r="D79" s="24">
        <v>100</v>
      </c>
      <c r="E79" s="24">
        <v>0</v>
      </c>
      <c r="F79" s="24">
        <v>100</v>
      </c>
      <c r="G79" s="25">
        <v>0</v>
      </c>
      <c r="H79" s="25">
        <v>0</v>
      </c>
      <c r="I79" s="25">
        <v>0</v>
      </c>
      <c r="J79" s="25">
        <v>0</v>
      </c>
      <c r="K79" s="25">
        <v>0</v>
      </c>
      <c r="L79" s="25">
        <v>0</v>
      </c>
      <c r="M79" s="26">
        <f>IF(G79&gt;0,J79/G79,0)</f>
      </c>
    </row>
    <row r="80" ht="14.4" customHeight="1">
      <c r="A80" s="21" t="str">
        <v/>
      </c>
      <c r="B80" s="22" t="str">
        <v>2.3.1.5.99.99     OTROS</v>
      </c>
      <c r="C80" s="23" t="str">
        <v/>
      </c>
      <c r="D80" s="24">
        <v>600</v>
      </c>
      <c r="E80" s="24">
        <v>0</v>
      </c>
      <c r="F80" s="24">
        <v>600</v>
      </c>
      <c r="G80" s="25">
        <v>0</v>
      </c>
      <c r="H80" s="25">
        <v>0</v>
      </c>
      <c r="I80" s="25">
        <v>0</v>
      </c>
      <c r="J80" s="25">
        <v>0</v>
      </c>
      <c r="K80" s="25">
        <v>0</v>
      </c>
      <c r="L80" s="25">
        <v>0</v>
      </c>
      <c r="M80" s="26">
        <f>IF(G80&gt;0,J80/G80,0)</f>
      </c>
    </row>
    <row r="81" ht="14.4" customHeight="1">
      <c r="A81" s="21" t="str">
        <v/>
      </c>
      <c r="B81" s="22" t="str">
        <v>2.3.1.6.1.1     DE VEHICULOS</v>
      </c>
      <c r="C81" s="23" t="str">
        <v/>
      </c>
      <c r="D81" s="24">
        <v>850</v>
      </c>
      <c r="E81" s="24">
        <v>0</v>
      </c>
      <c r="F81" s="24">
        <v>850</v>
      </c>
      <c r="G81" s="25">
        <v>0</v>
      </c>
      <c r="H81" s="25">
        <v>0</v>
      </c>
      <c r="I81" s="25">
        <v>0</v>
      </c>
      <c r="J81" s="25">
        <v>0</v>
      </c>
      <c r="K81" s="25">
        <v>0</v>
      </c>
      <c r="L81" s="25">
        <v>0</v>
      </c>
      <c r="M81" s="26">
        <f>IF(G81&gt;0,J81/G81,0)</f>
      </c>
    </row>
    <row r="82" ht="14.4" customHeight="1">
      <c r="A82" s="21" t="str">
        <v/>
      </c>
      <c r="B82" s="22" t="str">
        <v>2.3.1.6.1.4     DE SEGURIDAD</v>
      </c>
      <c r="C82" s="23" t="str">
        <v/>
      </c>
      <c r="D82" s="24">
        <v>26882</v>
      </c>
      <c r="E82" s="24">
        <v>0</v>
      </c>
      <c r="F82" s="24">
        <v>26882</v>
      </c>
      <c r="G82" s="25">
        <v>26882</v>
      </c>
      <c r="H82" s="25">
        <v>26882</v>
      </c>
      <c r="I82" s="25">
        <v>26882</v>
      </c>
      <c r="J82" s="25">
        <v>26882</v>
      </c>
      <c r="K82" s="25">
        <v>20903</v>
      </c>
      <c r="L82" s="25">
        <v>20903</v>
      </c>
      <c r="M82" s="26">
        <f>IF(G82&gt;0,J82/G82,0)</f>
      </c>
    </row>
    <row r="83" ht="14.4" customHeight="1">
      <c r="A83" s="21" t="str">
        <v/>
      </c>
      <c r="B83" s="22" t="str">
        <v>2.3.1.8.1.2     MEDICAMENTOS</v>
      </c>
      <c r="C83" s="23" t="str">
        <v/>
      </c>
      <c r="D83" s="24">
        <v>525</v>
      </c>
      <c r="E83" s="24">
        <v>0</v>
      </c>
      <c r="F83" s="24">
        <v>525</v>
      </c>
      <c r="G83" s="25">
        <v>0</v>
      </c>
      <c r="H83" s="25">
        <v>0</v>
      </c>
      <c r="I83" s="25">
        <v>0</v>
      </c>
      <c r="J83" s="25">
        <v>0</v>
      </c>
      <c r="K83" s="25">
        <v>0</v>
      </c>
      <c r="L83" s="25">
        <v>0</v>
      </c>
      <c r="M83" s="26">
        <f>IF(G83&gt;0,J83/G83,0)</f>
      </c>
    </row>
    <row r="84" ht="14.4" customHeight="1">
      <c r="A84" s="21" t="str">
        <v/>
      </c>
      <c r="B84" s="22" t="str">
        <v>2.3.1.8.1.99     OTROS PRODUCTOS SIMILARES</v>
      </c>
      <c r="C84" s="23" t="str">
        <v/>
      </c>
      <c r="D84" s="24">
        <v>230</v>
      </c>
      <c r="E84" s="24">
        <v>0</v>
      </c>
      <c r="F84" s="24">
        <v>230</v>
      </c>
      <c r="G84" s="25">
        <v>0</v>
      </c>
      <c r="H84" s="25">
        <v>0</v>
      </c>
      <c r="I84" s="25">
        <v>0</v>
      </c>
      <c r="J84" s="25">
        <v>0</v>
      </c>
      <c r="K84" s="25">
        <v>0</v>
      </c>
      <c r="L84" s="25">
        <v>0</v>
      </c>
      <c r="M84" s="26">
        <f>IF(G84&gt;0,J84/G84,0)</f>
      </c>
    </row>
    <row r="85" ht="14.4" customHeight="1">
      <c r="A85" s="21" t="str">
        <v/>
      </c>
      <c r="B85" s="22" t="str">
        <v>2.3.1.8.2.1     MATERIAL, INSUMOS, INSTRUMENTAL Y ACCESORIOS  MEDICOS, QUIRURGICOS, ODONTOLOGI</v>
      </c>
      <c r="C85" s="23" t="str">
        <v/>
      </c>
      <c r="D85" s="24">
        <v>4800</v>
      </c>
      <c r="E85" s="24">
        <v>0</v>
      </c>
      <c r="F85" s="24">
        <v>4800</v>
      </c>
      <c r="G85" s="25">
        <v>0</v>
      </c>
      <c r="H85" s="25">
        <v>0</v>
      </c>
      <c r="I85" s="25">
        <v>0</v>
      </c>
      <c r="J85" s="25">
        <v>0</v>
      </c>
      <c r="K85" s="25">
        <v>0</v>
      </c>
      <c r="L85" s="25">
        <v>0</v>
      </c>
      <c r="M85" s="26">
        <f>IF(G85&gt;0,J85/G85,0)</f>
      </c>
    </row>
    <row r="86" ht="14.4" customHeight="1">
      <c r="A86" s="21" t="str">
        <v/>
      </c>
      <c r="B86" s="22" t="str">
        <v>2.3.1.9.1.99     OTROS MATERIALES DIVERSOS DE ENSEÑANZA</v>
      </c>
      <c r="C86" s="23" t="str">
        <v/>
      </c>
      <c r="D86" s="24">
        <v>1050</v>
      </c>
      <c r="E86" s="24">
        <v>0</v>
      </c>
      <c r="F86" s="24">
        <v>1050</v>
      </c>
      <c r="G86" s="25">
        <v>0</v>
      </c>
      <c r="H86" s="25">
        <v>0</v>
      </c>
      <c r="I86" s="25">
        <v>0</v>
      </c>
      <c r="J86" s="25">
        <v>0</v>
      </c>
      <c r="K86" s="25">
        <v>0</v>
      </c>
      <c r="L86" s="25">
        <v>0</v>
      </c>
      <c r="M86" s="26">
        <f>IF(G86&gt;0,J86/G86,0)</f>
      </c>
    </row>
    <row r="87" ht="14.4" customHeight="1">
      <c r="A87" s="21" t="str">
        <v/>
      </c>
      <c r="B87" s="22" t="str">
        <v>2.3.1.99.1.1     HERRAMIENTAS</v>
      </c>
      <c r="C87" s="23" t="str">
        <v/>
      </c>
      <c r="D87" s="24">
        <v>2587</v>
      </c>
      <c r="E87" s="24">
        <v>0</v>
      </c>
      <c r="F87" s="24">
        <v>2587</v>
      </c>
      <c r="G87" s="25">
        <v>0</v>
      </c>
      <c r="H87" s="25">
        <v>0</v>
      </c>
      <c r="I87" s="25">
        <v>0</v>
      </c>
      <c r="J87" s="25">
        <v>0</v>
      </c>
      <c r="K87" s="25">
        <v>0</v>
      </c>
      <c r="L87" s="25">
        <v>0</v>
      </c>
      <c r="M87" s="26">
        <f>IF(G87&gt;0,J87/G87,0)</f>
      </c>
    </row>
    <row r="88" ht="14.4" customHeight="1">
      <c r="A88" s="21" t="str">
        <v/>
      </c>
      <c r="B88" s="22" t="str">
        <v>2.3.1.99.1.99     OTROS BIENES</v>
      </c>
      <c r="C88" s="23" t="str">
        <v/>
      </c>
      <c r="D88" s="24">
        <v>45859</v>
      </c>
      <c r="E88" s="24">
        <v>0</v>
      </c>
      <c r="F88" s="24">
        <v>45859</v>
      </c>
      <c r="G88" s="25">
        <v>7219</v>
      </c>
      <c r="H88" s="25">
        <v>7219</v>
      </c>
      <c r="I88" s="25">
        <v>7219</v>
      </c>
      <c r="J88" s="25">
        <v>7219</v>
      </c>
      <c r="K88" s="25">
        <v>6840</v>
      </c>
      <c r="L88" s="25">
        <v>6840</v>
      </c>
      <c r="M88" s="26">
        <f>IF(G88&gt;0,J88/G88,0)</f>
      </c>
    </row>
    <row r="89" ht="14.4" customHeight="1">
      <c r="A89" s="21" t="str">
        <v/>
      </c>
      <c r="B89" s="22" t="str">
        <v>2.3.2.7.11.99     SERVICIOS DIVERSOS</v>
      </c>
      <c r="C89" s="23" t="str">
        <v/>
      </c>
      <c r="D89" s="24">
        <v>409460</v>
      </c>
      <c r="E89" s="24">
        <v>0</v>
      </c>
      <c r="F89" s="24">
        <v>409460</v>
      </c>
      <c r="G89" s="25">
        <v>34565</v>
      </c>
      <c r="H89" s="25">
        <v>34565</v>
      </c>
      <c r="I89" s="25">
        <v>92339</v>
      </c>
      <c r="J89" s="25">
        <v>92339</v>
      </c>
      <c r="K89" s="25">
        <v>60329</v>
      </c>
      <c r="L89" s="25">
        <v>60329</v>
      </c>
      <c r="M89" s="26">
        <f>IF(G89&gt;0,J89/G89,0)</f>
      </c>
    </row>
    <row r="90" ht="14.4" customHeight="1">
      <c r="A90" s="21" t="str">
        <v/>
      </c>
      <c r="B90" s="22" t="str">
        <v>2.3.2.7.14.98     OTROS SERVICIOS TÉCNICOS Y PROFESIONALES DESARROLLADOS POR PERSONAS NATURALES</v>
      </c>
      <c r="C90" s="23" t="str">
        <v/>
      </c>
      <c r="D90" s="24">
        <v>2000</v>
      </c>
      <c r="E90" s="24">
        <v>0</v>
      </c>
      <c r="F90" s="24">
        <v>2000</v>
      </c>
      <c r="G90" s="25">
        <v>0</v>
      </c>
      <c r="H90" s="25">
        <v>0</v>
      </c>
      <c r="I90" s="25">
        <v>0</v>
      </c>
      <c r="J90" s="25">
        <v>0</v>
      </c>
      <c r="K90" s="25">
        <v>0</v>
      </c>
      <c r="L90" s="25">
        <v>0</v>
      </c>
      <c r="M90" s="26">
        <f>IF(G90&gt;0,J90/G90,0)</f>
      </c>
    </row>
    <row r="91" ht="14.4" customHeight="1">
      <c r="A91" s="21" t="str">
        <v/>
      </c>
      <c r="B91" s="22" t="str">
        <v>2.6.3.2.5.2     EQUIPO DE USO AGRICOLA Y PESQUERO</v>
      </c>
      <c r="C91" s="23" t="str">
        <v/>
      </c>
      <c r="D91" s="24">
        <v>3000</v>
      </c>
      <c r="E91" s="24">
        <v>0</v>
      </c>
      <c r="F91" s="24">
        <v>3000</v>
      </c>
      <c r="G91" s="25">
        <v>0</v>
      </c>
      <c r="H91" s="25">
        <v>0</v>
      </c>
      <c r="I91" s="25">
        <v>0</v>
      </c>
      <c r="J91" s="25">
        <v>0</v>
      </c>
      <c r="K91" s="25">
        <v>0</v>
      </c>
      <c r="L91" s="25">
        <v>0</v>
      </c>
      <c r="M91" s="26">
        <f>IF(G91&gt;0,J91/G91,0)</f>
      </c>
    </row>
    <row r="92" ht="14.4" customHeight="1">
      <c r="A92" s="15" t="str">
        <v/>
      </c>
      <c r="B92" s="16" t="str">
        <v>09 RECURSOS DIRECTAMENTE RECAUDADOS</v>
      </c>
      <c r="C92" s="17" t="str">
        <v/>
      </c>
      <c r="D92" s="18">
        <v>146000</v>
      </c>
      <c r="E92" s="18">
        <v>0</v>
      </c>
      <c r="F92" s="18">
        <v>146000</v>
      </c>
      <c r="G92" s="19">
        <v>0</v>
      </c>
      <c r="H92" s="19">
        <v>0</v>
      </c>
      <c r="I92" s="19">
        <v>0</v>
      </c>
      <c r="J92" s="19">
        <v>0</v>
      </c>
      <c r="K92" s="19">
        <v>0</v>
      </c>
      <c r="L92" s="19">
        <v>0</v>
      </c>
      <c r="M92" s="20">
        <f>IF(G92&gt;0,J92/G92,0)</f>
      </c>
    </row>
    <row r="93" ht="14.4" customHeight="1">
      <c r="A93" s="21" t="str">
        <v/>
      </c>
      <c r="B93" s="22" t="str">
        <v>2.3.1.99.1.99     OTROS BIENES</v>
      </c>
      <c r="C93" s="23" t="str">
        <v/>
      </c>
      <c r="D93" s="24">
        <v>66000</v>
      </c>
      <c r="E93" s="24">
        <v>0</v>
      </c>
      <c r="F93" s="24">
        <v>66000</v>
      </c>
      <c r="G93" s="25">
        <v>0</v>
      </c>
      <c r="H93" s="25">
        <v>0</v>
      </c>
      <c r="I93" s="25">
        <v>0</v>
      </c>
      <c r="J93" s="25">
        <v>0</v>
      </c>
      <c r="K93" s="25">
        <v>0</v>
      </c>
      <c r="L93" s="25">
        <v>0</v>
      </c>
      <c r="M93" s="26">
        <f>IF(G93&gt;0,J93/G93,0)</f>
      </c>
    </row>
    <row r="94" ht="14.4" customHeight="1">
      <c r="A94" s="21" t="str">
        <v/>
      </c>
      <c r="B94" s="22" t="str">
        <v>2.3.2.7.11.2     TRANSPORTE Y TRASLADO DE CARGA, BIENES Y MATERIALES</v>
      </c>
      <c r="C94" s="23" t="str">
        <v/>
      </c>
      <c r="D94" s="24">
        <v>80000</v>
      </c>
      <c r="E94" s="24">
        <v>0</v>
      </c>
      <c r="F94" s="24">
        <v>80000</v>
      </c>
      <c r="G94" s="25">
        <v>0</v>
      </c>
      <c r="H94" s="25">
        <v>0</v>
      </c>
      <c r="I94" s="25">
        <v>0</v>
      </c>
      <c r="J94" s="25">
        <v>0</v>
      </c>
      <c r="K94" s="25">
        <v>0</v>
      </c>
      <c r="L94" s="25">
        <v>0</v>
      </c>
      <c r="M94" s="26">
        <f>IF(G94&gt;0,J94/G94,0)</f>
      </c>
    </row>
    <row r="95" ht="14.4" customHeight="1">
      <c r="A95" s="15" t="str">
        <v>0007</v>
      </c>
      <c r="B95" s="16" t="str">
        <v>VALORIZACION DE RESIDUOS SOLIDOS MUNICIPALES</v>
      </c>
      <c r="C95" s="17" t="str">
        <v/>
      </c>
      <c r="D95" s="18">
        <v>95000</v>
      </c>
      <c r="E95" s="18">
        <v>0</v>
      </c>
      <c r="F95" s="18">
        <v>95000</v>
      </c>
      <c r="G95" s="19">
        <v>0</v>
      </c>
      <c r="H95" s="19">
        <v>0</v>
      </c>
      <c r="I95" s="19">
        <v>0</v>
      </c>
      <c r="J95" s="19">
        <v>0</v>
      </c>
      <c r="K95" s="19">
        <v>0</v>
      </c>
      <c r="L95" s="19">
        <v>0</v>
      </c>
      <c r="M95" s="20">
        <f>IF(G95&gt;0,J95/G95,0)</f>
      </c>
    </row>
    <row r="96" ht="14.4" customHeight="1">
      <c r="A96" s="15" t="str">
        <v/>
      </c>
      <c r="B96" s="16" t="str">
        <v>07 FONDO DE COMPENSACION MUNICIPAL</v>
      </c>
      <c r="C96" s="17" t="str">
        <v/>
      </c>
      <c r="D96" s="18">
        <v>95000</v>
      </c>
      <c r="E96" s="18">
        <v>0</v>
      </c>
      <c r="F96" s="18">
        <v>95000</v>
      </c>
      <c r="G96" s="19">
        <v>0</v>
      </c>
      <c r="H96" s="19">
        <v>0</v>
      </c>
      <c r="I96" s="19">
        <v>0</v>
      </c>
      <c r="J96" s="19">
        <v>0</v>
      </c>
      <c r="K96" s="19">
        <v>0</v>
      </c>
      <c r="L96" s="19">
        <v>0</v>
      </c>
      <c r="M96" s="20">
        <f>IF(G96&gt;0,J96/G96,0)</f>
      </c>
    </row>
    <row r="97" ht="14.4" customHeight="1">
      <c r="A97" s="21" t="str">
        <v/>
      </c>
      <c r="B97" s="22" t="str">
        <v>2.3.2.7.14.98     OTROS SERVICIOS TÉCNICOS Y PROFESIONALES DESARROLLADOS POR PERSONAS NATURALES</v>
      </c>
      <c r="C97" s="23" t="str">
        <v/>
      </c>
      <c r="D97" s="24">
        <v>95000</v>
      </c>
      <c r="E97" s="24">
        <v>0</v>
      </c>
      <c r="F97" s="24">
        <v>95000</v>
      </c>
      <c r="G97" s="25">
        <v>0</v>
      </c>
      <c r="H97" s="25">
        <v>0</v>
      </c>
      <c r="I97" s="25">
        <v>0</v>
      </c>
      <c r="J97" s="25">
        <v>0</v>
      </c>
      <c r="K97" s="25">
        <v>0</v>
      </c>
      <c r="L97" s="25">
        <v>0</v>
      </c>
      <c r="M97" s="26">
        <f>IF(G97&gt;0,J97/G97,0)</f>
      </c>
    </row>
    <row r="98" ht="14.4" customHeight="1">
      <c r="A98" s="15" t="str">
        <v>0008</v>
      </c>
      <c r="B98" s="16" t="str">
        <v>FISCALIZACION DE LA GESTION DE LOS RESIDUOS SOLIDOS DEL AMBITO MUNICIPAL</v>
      </c>
      <c r="C98" s="17" t="str">
        <v/>
      </c>
      <c r="D98" s="18">
        <v>49000</v>
      </c>
      <c r="E98" s="18">
        <v>0</v>
      </c>
      <c r="F98" s="18">
        <v>49000</v>
      </c>
      <c r="G98" s="19">
        <v>0</v>
      </c>
      <c r="H98" s="19">
        <v>0</v>
      </c>
      <c r="I98" s="19">
        <v>0</v>
      </c>
      <c r="J98" s="19">
        <v>0</v>
      </c>
      <c r="K98" s="19">
        <v>0</v>
      </c>
      <c r="L98" s="19">
        <v>0</v>
      </c>
      <c r="M98" s="20">
        <f>IF(G98&gt;0,J98/G98,0)</f>
      </c>
    </row>
    <row r="99" ht="14.4" customHeight="1">
      <c r="A99" s="15" t="str">
        <v/>
      </c>
      <c r="B99" s="16" t="str">
        <v>07 FONDO DE COMPENSACION MUNICIPAL</v>
      </c>
      <c r="C99" s="17" t="str">
        <v/>
      </c>
      <c r="D99" s="18">
        <v>49000</v>
      </c>
      <c r="E99" s="18">
        <v>0</v>
      </c>
      <c r="F99" s="18">
        <v>49000</v>
      </c>
      <c r="G99" s="19">
        <v>0</v>
      </c>
      <c r="H99" s="19">
        <v>0</v>
      </c>
      <c r="I99" s="19">
        <v>0</v>
      </c>
      <c r="J99" s="19">
        <v>0</v>
      </c>
      <c r="K99" s="19">
        <v>0</v>
      </c>
      <c r="L99" s="19">
        <v>0</v>
      </c>
      <c r="M99" s="20">
        <f>IF(G99&gt;0,J99/G99,0)</f>
      </c>
    </row>
    <row r="100" ht="14.4" customHeight="1">
      <c r="A100" s="21" t="str">
        <v/>
      </c>
      <c r="B100" s="22" t="str">
        <v>2.3.2.7.14.98     OTROS SERVICIOS TÉCNICOS Y PROFESIONALES DESARROLLADOS POR PERSONAS NATURALES</v>
      </c>
      <c r="C100" s="23" t="str">
        <v/>
      </c>
      <c r="D100" s="24">
        <v>49000</v>
      </c>
      <c r="E100" s="24">
        <v>0</v>
      </c>
      <c r="F100" s="24">
        <v>49000</v>
      </c>
      <c r="G100" s="25">
        <v>0</v>
      </c>
      <c r="H100" s="25">
        <v>0</v>
      </c>
      <c r="I100" s="25">
        <v>0</v>
      </c>
      <c r="J100" s="25">
        <v>0</v>
      </c>
      <c r="K100" s="25">
        <v>0</v>
      </c>
      <c r="L100" s="25">
        <v>0</v>
      </c>
      <c r="M100" s="26">
        <f>IF(G100&gt;0,J100/G100,0)</f>
      </c>
    </row>
    <row r="101" ht="14.4" customHeight="1">
      <c r="A101" s="15" t="str">
        <v>0009</v>
      </c>
      <c r="B101" s="16" t="str">
        <v>PREVENCION, CONTROL Y ERRADICACION DE ENFERMEDADES EN LOS ANIMALES</v>
      </c>
      <c r="C101" s="17" t="str">
        <v/>
      </c>
      <c r="D101" s="18">
        <v>155043</v>
      </c>
      <c r="E101" s="18">
        <v>-19180</v>
      </c>
      <c r="F101" s="18">
        <v>135863</v>
      </c>
      <c r="G101" s="19">
        <v>10961</v>
      </c>
      <c r="H101" s="19">
        <v>10961</v>
      </c>
      <c r="I101" s="19">
        <v>45130</v>
      </c>
      <c r="J101" s="19">
        <v>45130</v>
      </c>
      <c r="K101" s="19">
        <v>45130</v>
      </c>
      <c r="L101" s="19">
        <v>45130</v>
      </c>
      <c r="M101" s="20">
        <f>IF(G101&gt;0,J101/G101,0)</f>
      </c>
    </row>
    <row r="102" ht="14.4" customHeight="1">
      <c r="A102" s="15" t="str">
        <v/>
      </c>
      <c r="B102" s="16" t="str">
        <v>07 FONDO DE COMPENSACION MUNICIPAL</v>
      </c>
      <c r="C102" s="17" t="str">
        <v/>
      </c>
      <c r="D102" s="18">
        <v>155043</v>
      </c>
      <c r="E102" s="18">
        <v>-19180</v>
      </c>
      <c r="F102" s="18">
        <v>135863</v>
      </c>
      <c r="G102" s="19">
        <v>10961</v>
      </c>
      <c r="H102" s="19">
        <v>10961</v>
      </c>
      <c r="I102" s="19">
        <v>45130</v>
      </c>
      <c r="J102" s="19">
        <v>45130</v>
      </c>
      <c r="K102" s="19">
        <v>45130</v>
      </c>
      <c r="L102" s="19">
        <v>45130</v>
      </c>
      <c r="M102" s="20">
        <f>IF(G102&gt;0,J102/G102,0)</f>
      </c>
    </row>
    <row r="103" ht="14.4" customHeight="1">
      <c r="A103" s="21" t="str">
        <v/>
      </c>
      <c r="B103" s="22" t="str">
        <v>2.3.1.1.1.2     ALIMENTOS Y BEBIDAS PARA CONSUMO ANIMAL</v>
      </c>
      <c r="C103" s="23" t="str">
        <v/>
      </c>
      <c r="D103" s="24">
        <v>12632</v>
      </c>
      <c r="E103" s="24">
        <v>-12632</v>
      </c>
      <c r="F103" s="24">
        <v>0</v>
      </c>
      <c r="G103" s="25">
        <v>0</v>
      </c>
      <c r="H103" s="25">
        <v>0</v>
      </c>
      <c r="I103" s="25">
        <v>0</v>
      </c>
      <c r="J103" s="25">
        <v>0</v>
      </c>
      <c r="K103" s="25">
        <v>0</v>
      </c>
      <c r="L103" s="25">
        <v>0</v>
      </c>
      <c r="M103" s="26">
        <f>IF(G103&gt;0,J103/G103,0)</f>
      </c>
    </row>
    <row r="104" ht="14.4" customHeight="1">
      <c r="A104" s="21" t="str">
        <v/>
      </c>
      <c r="B104" s="22" t="str">
        <v>2.3.1.10.1.1     SUMINISTROS DE USO ZOOTECNICO</v>
      </c>
      <c r="C104" s="23" t="str">
        <v/>
      </c>
      <c r="D104" s="24">
        <v>18000</v>
      </c>
      <c r="E104" s="24">
        <v>6286</v>
      </c>
      <c r="F104" s="24">
        <v>24286</v>
      </c>
      <c r="G104" s="25">
        <v>0</v>
      </c>
      <c r="H104" s="25">
        <v>0</v>
      </c>
      <c r="I104" s="25">
        <v>10000</v>
      </c>
      <c r="J104" s="25">
        <v>10000</v>
      </c>
      <c r="K104" s="25">
        <v>10000</v>
      </c>
      <c r="L104" s="25">
        <v>10000</v>
      </c>
      <c r="M104" s="26">
        <f>IF(G104&gt;0,J104/G104,0)</f>
      </c>
    </row>
    <row r="105" ht="14.4" customHeight="1">
      <c r="A105" s="21" t="str">
        <v/>
      </c>
      <c r="B105" s="22" t="str">
        <v>2.3.1.10.1.6     PRODUCTOS FARMACEUTICOS DE USO ANIMAL</v>
      </c>
      <c r="C105" s="23" t="str">
        <v/>
      </c>
      <c r="D105" s="24">
        <v>48310</v>
      </c>
      <c r="E105" s="24">
        <v>2000</v>
      </c>
      <c r="F105" s="24">
        <v>50310</v>
      </c>
      <c r="G105" s="25">
        <v>9800</v>
      </c>
      <c r="H105" s="25">
        <v>9800</v>
      </c>
      <c r="I105" s="25">
        <v>18269</v>
      </c>
      <c r="J105" s="25">
        <v>18269</v>
      </c>
      <c r="K105" s="25">
        <v>18269</v>
      </c>
      <c r="L105" s="25">
        <v>18269</v>
      </c>
      <c r="M105" s="26">
        <f>IF(G105&gt;0,J105/G105,0)</f>
      </c>
    </row>
    <row r="106" ht="14.4" customHeight="1">
      <c r="A106" s="21" t="str">
        <v/>
      </c>
      <c r="B106" s="22" t="str">
        <v>2.3.1.11.1.5     OTROS MATERIALES DE MANTENIMIENTO</v>
      </c>
      <c r="C106" s="23" t="str">
        <v/>
      </c>
      <c r="D106" s="24">
        <v>10000</v>
      </c>
      <c r="E106" s="24">
        <v>0</v>
      </c>
      <c r="F106" s="24">
        <v>10000</v>
      </c>
      <c r="G106" s="25">
        <v>0</v>
      </c>
      <c r="H106" s="25">
        <v>0</v>
      </c>
      <c r="I106" s="25">
        <v>0</v>
      </c>
      <c r="J106" s="25">
        <v>0</v>
      </c>
      <c r="K106" s="25">
        <v>0</v>
      </c>
      <c r="L106" s="25">
        <v>0</v>
      </c>
      <c r="M106" s="26">
        <f>IF(G106&gt;0,J106/G106,0)</f>
      </c>
    </row>
    <row r="107" ht="14.4" customHeight="1">
      <c r="A107" s="21" t="str">
        <v/>
      </c>
      <c r="B107" s="22" t="str">
        <v>2.3.1.5.3.1     ASEO, LIMPIEZA Y TOCADOR</v>
      </c>
      <c r="C107" s="23" t="str">
        <v/>
      </c>
      <c r="D107" s="24">
        <v>1850</v>
      </c>
      <c r="E107" s="24">
        <v>-1606</v>
      </c>
      <c r="F107" s="24">
        <v>244</v>
      </c>
      <c r="G107" s="25">
        <v>0</v>
      </c>
      <c r="H107" s="25">
        <v>0</v>
      </c>
      <c r="I107" s="25">
        <v>0</v>
      </c>
      <c r="J107" s="25">
        <v>0</v>
      </c>
      <c r="K107" s="25">
        <v>0</v>
      </c>
      <c r="L107" s="25">
        <v>0</v>
      </c>
      <c r="M107" s="26">
        <f>IF(G107&gt;0,J107/G107,0)</f>
      </c>
    </row>
    <row r="108" ht="14.4" customHeight="1">
      <c r="A108" s="21" t="str">
        <v/>
      </c>
      <c r="B108" s="22" t="str">
        <v>2.3.1.8.1.2     MEDICAMENTOS</v>
      </c>
      <c r="C108" s="23" t="str">
        <v/>
      </c>
      <c r="D108" s="24">
        <v>208</v>
      </c>
      <c r="E108" s="24">
        <v>-208</v>
      </c>
      <c r="F108" s="24">
        <v>0</v>
      </c>
      <c r="G108" s="25">
        <v>0</v>
      </c>
      <c r="H108" s="25">
        <v>0</v>
      </c>
      <c r="I108" s="25">
        <v>0</v>
      </c>
      <c r="J108" s="25">
        <v>0</v>
      </c>
      <c r="K108" s="25">
        <v>0</v>
      </c>
      <c r="L108" s="25">
        <v>0</v>
      </c>
      <c r="M108" s="26">
        <f>IF(G108&gt;0,J108/G108,0)</f>
      </c>
    </row>
    <row r="109" ht="14.4" customHeight="1">
      <c r="A109" s="21" t="str">
        <v/>
      </c>
      <c r="B109" s="22" t="str">
        <v>2.3.1.8.2.1     MATERIAL, INSUMOS, INSTRUMENTAL Y ACCESORIOS  MEDICOS, QUIRURGICOS, ODONTOLOGI</v>
      </c>
      <c r="C109" s="23" t="str">
        <v/>
      </c>
      <c r="D109" s="24">
        <v>14383</v>
      </c>
      <c r="E109" s="24">
        <v>-7100</v>
      </c>
      <c r="F109" s="24">
        <v>7283</v>
      </c>
      <c r="G109" s="25">
        <v>0</v>
      </c>
      <c r="H109" s="25">
        <v>0</v>
      </c>
      <c r="I109" s="25">
        <v>6000</v>
      </c>
      <c r="J109" s="25">
        <v>6000</v>
      </c>
      <c r="K109" s="25">
        <v>6000</v>
      </c>
      <c r="L109" s="25">
        <v>6000</v>
      </c>
      <c r="M109" s="26">
        <f>IF(G109&gt;0,J109/G109,0)</f>
      </c>
    </row>
    <row r="110" ht="14.4" customHeight="1">
      <c r="A110" s="21" t="str">
        <v/>
      </c>
      <c r="B110" s="22" t="str">
        <v>2.3.1.99.1.99     OTROS BIENES</v>
      </c>
      <c r="C110" s="23" t="str">
        <v/>
      </c>
      <c r="D110" s="24">
        <v>20000</v>
      </c>
      <c r="E110" s="24">
        <v>-5320</v>
      </c>
      <c r="F110" s="24">
        <v>14680</v>
      </c>
      <c r="G110" s="25">
        <v>0</v>
      </c>
      <c r="H110" s="25">
        <v>0</v>
      </c>
      <c r="I110" s="25">
        <v>8500</v>
      </c>
      <c r="J110" s="25">
        <v>8500</v>
      </c>
      <c r="K110" s="25">
        <v>8500</v>
      </c>
      <c r="L110" s="25">
        <v>8500</v>
      </c>
      <c r="M110" s="26">
        <f>IF(G110&gt;0,J110/G110,0)</f>
      </c>
    </row>
    <row r="111" ht="14.4" customHeight="1">
      <c r="A111" s="21" t="str">
        <v/>
      </c>
      <c r="B111" s="22" t="str">
        <v>2.3.2.5.1.4     DE MAQUINARIAS Y EQUIPOS</v>
      </c>
      <c r="C111" s="23" t="str">
        <v/>
      </c>
      <c r="D111" s="24">
        <v>600</v>
      </c>
      <c r="E111" s="24">
        <v>-600</v>
      </c>
      <c r="F111" s="24">
        <v>0</v>
      </c>
      <c r="G111" s="25">
        <v>0</v>
      </c>
      <c r="H111" s="25">
        <v>0</v>
      </c>
      <c r="I111" s="25">
        <v>0</v>
      </c>
      <c r="J111" s="25">
        <v>0</v>
      </c>
      <c r="K111" s="25">
        <v>0</v>
      </c>
      <c r="L111" s="25">
        <v>0</v>
      </c>
      <c r="M111" s="26">
        <f>IF(G111&gt;0,J111/G111,0)</f>
      </c>
    </row>
    <row r="112" ht="14.4" customHeight="1">
      <c r="A112" s="21" t="str">
        <v/>
      </c>
      <c r="B112" s="22" t="str">
        <v>2.3.2.7.11.99     SERVICIOS DIVERSOS</v>
      </c>
      <c r="C112" s="23" t="str">
        <v/>
      </c>
      <c r="D112" s="24">
        <v>29060</v>
      </c>
      <c r="E112" s="24">
        <v>0</v>
      </c>
      <c r="F112" s="24">
        <v>29060</v>
      </c>
      <c r="G112" s="25">
        <v>1161</v>
      </c>
      <c r="H112" s="25">
        <v>1161</v>
      </c>
      <c r="I112" s="25">
        <v>2361</v>
      </c>
      <c r="J112" s="25">
        <v>2361</v>
      </c>
      <c r="K112" s="25">
        <v>2361</v>
      </c>
      <c r="L112" s="25">
        <v>2361</v>
      </c>
      <c r="M112" s="26">
        <f>IF(G112&gt;0,J112/G112,0)</f>
      </c>
    </row>
    <row r="113" ht="14.4" customHeight="1">
      <c r="A113" s="21" t="str">
        <v/>
      </c>
      <c r="B113" s="22" t="str">
        <v>2.3.2.9.1.1     LOCACIÓN DE SERVICIOS REALIZADOS POR PERSONA NATURAL</v>
      </c>
      <c r="C113" s="23" t="str">
        <v/>
      </c>
      <c r="D113" s="24">
        <v>0</v>
      </c>
      <c r="E113" s="24">
        <v>0</v>
      </c>
      <c r="F113" s="24">
        <v>0</v>
      </c>
      <c r="G113" s="25">
        <v>0</v>
      </c>
      <c r="H113" s="25">
        <v>0</v>
      </c>
      <c r="I113" s="25">
        <v>0</v>
      </c>
      <c r="J113" s="25">
        <v>0</v>
      </c>
      <c r="K113" s="25">
        <v>0</v>
      </c>
      <c r="L113" s="25">
        <v>0</v>
      </c>
      <c r="M113" s="26">
        <f>IF(G113&gt;0,J113/G113,0)</f>
      </c>
    </row>
    <row r="114" ht="14.4" customHeight="1">
      <c r="A114" s="15" t="str">
        <v>0010</v>
      </c>
      <c r="B114" s="16" t="str">
        <v>MEJORAMIENTO DE LOS SERVICIOS DE APOYO AL DESARROLLO PRODUCTIVO EN LA CADENA PRODUCTIVA DE LA PAPA EN 15 CASERIOS DEL DISTRITO DE HUANCABAMBA, HUANCABAMBA, PIURA</v>
      </c>
      <c r="C114" s="17" t="str">
        <v/>
      </c>
      <c r="D114" s="18">
        <v>1230123</v>
      </c>
      <c r="E114" s="18">
        <v>69634</v>
      </c>
      <c r="F114" s="18">
        <v>1299757</v>
      </c>
      <c r="G114" s="19">
        <v>125394</v>
      </c>
      <c r="H114" s="19">
        <v>125394</v>
      </c>
      <c r="I114" s="19">
        <v>133132</v>
      </c>
      <c r="J114" s="19">
        <v>73200</v>
      </c>
      <c r="K114" s="19">
        <v>42200</v>
      </c>
      <c r="L114" s="19">
        <v>42200</v>
      </c>
      <c r="M114" s="20">
        <f>IF(G114&gt;0,J114/G114,0)</f>
      </c>
    </row>
    <row r="115" ht="14.4" customHeight="1">
      <c r="A115" s="15" t="str">
        <v/>
      </c>
      <c r="B115" s="16" t="str">
        <v>07 FONDO DE COMPENSACION MUNICIPAL</v>
      </c>
      <c r="C115" s="17" t="str">
        <v/>
      </c>
      <c r="D115" s="18">
        <v>0</v>
      </c>
      <c r="E115" s="18">
        <v>43000</v>
      </c>
      <c r="F115" s="18">
        <v>43000</v>
      </c>
      <c r="G115" s="19">
        <v>0</v>
      </c>
      <c r="H115" s="19">
        <v>0</v>
      </c>
      <c r="I115" s="19">
        <v>0</v>
      </c>
      <c r="J115" s="19">
        <v>0</v>
      </c>
      <c r="K115" s="19">
        <v>0</v>
      </c>
      <c r="L115" s="19">
        <v>0</v>
      </c>
      <c r="M115" s="20">
        <f>IF(G115&gt;0,J115/G115,0)</f>
      </c>
    </row>
    <row r="116" ht="14.4" customHeight="1">
      <c r="A116" s="21" t="str">
        <v/>
      </c>
      <c r="B116" s="22" t="str">
        <v>2.6.7.1.3.2     GASTOS POR LA COMPRA DE BIENES</v>
      </c>
      <c r="C116" s="23" t="str">
        <v/>
      </c>
      <c r="D116" s="24">
        <v>0</v>
      </c>
      <c r="E116" s="24">
        <v>43000</v>
      </c>
      <c r="F116" s="24">
        <v>43000</v>
      </c>
      <c r="G116" s="25">
        <v>0</v>
      </c>
      <c r="H116" s="25">
        <v>0</v>
      </c>
      <c r="I116" s="25">
        <v>0</v>
      </c>
      <c r="J116" s="25">
        <v>0</v>
      </c>
      <c r="K116" s="25">
        <v>0</v>
      </c>
      <c r="L116" s="25">
        <v>0</v>
      </c>
      <c r="M116" s="26">
        <f>IF(G116&gt;0,J116/G116,0)</f>
      </c>
    </row>
    <row r="117" ht="14.4" customHeight="1">
      <c r="A117" s="15" t="str">
        <v/>
      </c>
      <c r="B117" s="16" t="str">
        <v>18 CANON Y SOBRECANON, REGALIAS, RENTA DE ADUANAS Y PARTICIPACIONES</v>
      </c>
      <c r="C117" s="17" t="str">
        <v/>
      </c>
      <c r="D117" s="18">
        <v>1230123</v>
      </c>
      <c r="E117" s="18">
        <v>26634</v>
      </c>
      <c r="F117" s="18">
        <v>1256757</v>
      </c>
      <c r="G117" s="19">
        <v>125394</v>
      </c>
      <c r="H117" s="19">
        <v>125394</v>
      </c>
      <c r="I117" s="19">
        <v>133132</v>
      </c>
      <c r="J117" s="19">
        <v>73200</v>
      </c>
      <c r="K117" s="19">
        <v>42200</v>
      </c>
      <c r="L117" s="19">
        <v>42200</v>
      </c>
      <c r="M117" s="20">
        <f>IF(G117&gt;0,J117/G117,0)</f>
      </c>
    </row>
    <row r="118" ht="14.4" customHeight="1">
      <c r="A118" s="21" t="str">
        <v/>
      </c>
      <c r="B118" s="22" t="str">
        <v>2.6.7.1.3.2     GASTOS POR LA COMPRA DE BIENES</v>
      </c>
      <c r="C118" s="23" t="str">
        <v/>
      </c>
      <c r="D118" s="24">
        <v>330123</v>
      </c>
      <c r="E118" s="24">
        <v>150000</v>
      </c>
      <c r="F118" s="24">
        <v>480123</v>
      </c>
      <c r="G118" s="25">
        <v>37194</v>
      </c>
      <c r="H118" s="25">
        <v>37194</v>
      </c>
      <c r="I118" s="25">
        <v>38932</v>
      </c>
      <c r="J118" s="25">
        <v>600</v>
      </c>
      <c r="K118" s="25">
        <v>600</v>
      </c>
      <c r="L118" s="25">
        <v>600</v>
      </c>
      <c r="M118" s="26">
        <f>IF(G118&gt;0,J118/G118,0)</f>
      </c>
    </row>
    <row r="119" ht="14.4" customHeight="1">
      <c r="A119" s="21" t="str">
        <v/>
      </c>
      <c r="B119" s="22" t="str">
        <v>2.6.7.1.3.3     GASTOS POR LA CONTRATACION DE SERVICIOS</v>
      </c>
      <c r="C119" s="23" t="str">
        <v/>
      </c>
      <c r="D119" s="24">
        <v>900000</v>
      </c>
      <c r="E119" s="24">
        <v>-123366</v>
      </c>
      <c r="F119" s="24">
        <v>776634</v>
      </c>
      <c r="G119" s="25">
        <v>88200</v>
      </c>
      <c r="H119" s="25">
        <v>88200</v>
      </c>
      <c r="I119" s="25">
        <v>94200</v>
      </c>
      <c r="J119" s="25">
        <v>72600</v>
      </c>
      <c r="K119" s="25">
        <v>41600</v>
      </c>
      <c r="L119" s="25">
        <v>41600</v>
      </c>
      <c r="M119" s="26">
        <f>IF(G119&gt;0,J119/G119,0)</f>
      </c>
    </row>
    <row r="120" ht="14.4" customHeight="1">
      <c r="A120" s="15" t="str">
        <v>0011</v>
      </c>
      <c r="B120" s="16" t="str">
        <v>CONSTRUCCION DE CANAL DE RIEGO</v>
      </c>
      <c r="C120" s="17" t="str">
        <v/>
      </c>
      <c r="D120" s="18">
        <v>15666367</v>
      </c>
      <c r="E120" s="18">
        <v>0</v>
      </c>
      <c r="F120" s="18">
        <v>15666367</v>
      </c>
      <c r="G120" s="19">
        <v>15666367</v>
      </c>
      <c r="H120" s="19">
        <v>0</v>
      </c>
      <c r="I120" s="19">
        <v>0</v>
      </c>
      <c r="J120" s="19">
        <v>0</v>
      </c>
      <c r="K120" s="19">
        <v>0</v>
      </c>
      <c r="L120" s="19">
        <v>0</v>
      </c>
      <c r="M120" s="20">
        <f>IF(G120&gt;0,J120/G120,0)</f>
      </c>
    </row>
    <row r="121" ht="14.4" customHeight="1">
      <c r="A121" s="15" t="str">
        <v/>
      </c>
      <c r="B121" s="16" t="str">
        <v>00 RECURSOS ORDINARIOS</v>
      </c>
      <c r="C121" s="17" t="str">
        <v/>
      </c>
      <c r="D121" s="18">
        <v>15666367</v>
      </c>
      <c r="E121" s="18">
        <v>0</v>
      </c>
      <c r="F121" s="18">
        <v>15666367</v>
      </c>
      <c r="G121" s="19">
        <v>15666367</v>
      </c>
      <c r="H121" s="19">
        <v>0</v>
      </c>
      <c r="I121" s="19">
        <v>0</v>
      </c>
      <c r="J121" s="19">
        <v>0</v>
      </c>
      <c r="K121" s="19">
        <v>0</v>
      </c>
      <c r="L121" s="19">
        <v>0</v>
      </c>
      <c r="M121" s="20">
        <f>IF(G121&gt;0,J121/G121,0)</f>
      </c>
    </row>
    <row r="122" ht="14.4" customHeight="1">
      <c r="A122" s="21" t="str">
        <v/>
      </c>
      <c r="B122" s="22" t="str">
        <v>2.6.2.3.4.2     COSTO DE CONSTRUCCION POR CONTRATA</v>
      </c>
      <c r="C122" s="23" t="str">
        <v/>
      </c>
      <c r="D122" s="24">
        <v>15666367</v>
      </c>
      <c r="E122" s="24">
        <v>0</v>
      </c>
      <c r="F122" s="24">
        <v>15666367</v>
      </c>
      <c r="G122" s="25">
        <v>15666367</v>
      </c>
      <c r="H122" s="25">
        <v>0</v>
      </c>
      <c r="I122" s="25">
        <v>0</v>
      </c>
      <c r="J122" s="25">
        <v>0</v>
      </c>
      <c r="K122" s="25">
        <v>0</v>
      </c>
      <c r="L122" s="25">
        <v>0</v>
      </c>
      <c r="M122" s="26">
        <f>IF(G122&gt;0,J122/G122,0)</f>
      </c>
    </row>
    <row r="123" ht="14.4" customHeight="1">
      <c r="A123" s="15" t="str">
        <v>0012</v>
      </c>
      <c r="B123" s="16" t="str">
        <v>MANTENIMIENTO DE CAUCES, DRENAJES Y ESTRUCTURAS DE SEGURIDAD FISICA FRENTE A PELIGROS</v>
      </c>
      <c r="C123" s="17" t="str">
        <v/>
      </c>
      <c r="D123" s="18">
        <v>101221</v>
      </c>
      <c r="E123" s="18">
        <v>213100</v>
      </c>
      <c r="F123" s="18">
        <v>314321</v>
      </c>
      <c r="G123" s="19">
        <v>63092.520000000004</v>
      </c>
      <c r="H123" s="19">
        <v>63092.520000000004</v>
      </c>
      <c r="I123" s="19">
        <v>159432.52</v>
      </c>
      <c r="J123" s="19">
        <v>59517.520000000004</v>
      </c>
      <c r="K123" s="19">
        <v>23005</v>
      </c>
      <c r="L123" s="19">
        <v>23005</v>
      </c>
      <c r="M123" s="20">
        <f>IF(G123&gt;0,J123/G123,0)</f>
      </c>
    </row>
    <row r="124" ht="14.4" customHeight="1">
      <c r="A124" s="15" t="str">
        <v/>
      </c>
      <c r="B124" s="16" t="str">
        <v>07 FONDO DE COMPENSACION MUNICIPAL</v>
      </c>
      <c r="C124" s="17" t="str">
        <v/>
      </c>
      <c r="D124" s="18">
        <v>0</v>
      </c>
      <c r="E124" s="18">
        <v>183100</v>
      </c>
      <c r="F124" s="18">
        <v>183100</v>
      </c>
      <c r="G124" s="19">
        <v>0</v>
      </c>
      <c r="H124" s="19">
        <v>0</v>
      </c>
      <c r="I124" s="19">
        <v>64340</v>
      </c>
      <c r="J124" s="19">
        <v>0</v>
      </c>
      <c r="K124" s="19">
        <v>0</v>
      </c>
      <c r="L124" s="19">
        <v>0</v>
      </c>
      <c r="M124" s="20">
        <f>IF(G124&gt;0,J124/G124,0)</f>
      </c>
    </row>
    <row r="125" ht="14.4" customHeight="1">
      <c r="A125" s="21" t="str">
        <v/>
      </c>
      <c r="B125" s="22" t="str">
        <v>2.3.1.3.1.1     COMBUSTIBLES Y CARBURANTES</v>
      </c>
      <c r="C125" s="23" t="str">
        <v/>
      </c>
      <c r="D125" s="24">
        <v>0</v>
      </c>
      <c r="E125" s="24">
        <v>43000</v>
      </c>
      <c r="F125" s="24">
        <v>43000</v>
      </c>
      <c r="G125" s="25">
        <v>0</v>
      </c>
      <c r="H125" s="25">
        <v>0</v>
      </c>
      <c r="I125" s="25">
        <v>0</v>
      </c>
      <c r="J125" s="25">
        <v>0</v>
      </c>
      <c r="K125" s="25">
        <v>0</v>
      </c>
      <c r="L125" s="25">
        <v>0</v>
      </c>
      <c r="M125" s="26">
        <f>IF(G125&gt;0,J125/G125,0)</f>
      </c>
    </row>
    <row r="126" ht="14.4" customHeight="1">
      <c r="A126" s="21" t="str">
        <v/>
      </c>
      <c r="B126" s="22" t="str">
        <v>2.3.1.9.1.99     OTROS MATERIALES DIVERSOS DE ENSEÑANZA</v>
      </c>
      <c r="C126" s="23" t="str">
        <v/>
      </c>
      <c r="D126" s="24">
        <v>0</v>
      </c>
      <c r="E126" s="24">
        <v>50000</v>
      </c>
      <c r="F126" s="24">
        <v>50000</v>
      </c>
      <c r="G126" s="25">
        <v>0</v>
      </c>
      <c r="H126" s="25">
        <v>0</v>
      </c>
      <c r="I126" s="25">
        <v>29340</v>
      </c>
      <c r="J126" s="25">
        <v>0</v>
      </c>
      <c r="K126" s="25">
        <v>0</v>
      </c>
      <c r="L126" s="25">
        <v>0</v>
      </c>
      <c r="M126" s="26">
        <f>IF(G126&gt;0,J126/G126,0)</f>
      </c>
    </row>
    <row r="127" ht="14.4" customHeight="1">
      <c r="A127" s="21" t="str">
        <v/>
      </c>
      <c r="B127" s="22" t="str">
        <v>2.3.1.99.1.99     OTROS BIENES</v>
      </c>
      <c r="C127" s="23" t="str">
        <v/>
      </c>
      <c r="D127" s="24">
        <v>0</v>
      </c>
      <c r="E127" s="24">
        <v>90100</v>
      </c>
      <c r="F127" s="24">
        <v>90100</v>
      </c>
      <c r="G127" s="25">
        <v>0</v>
      </c>
      <c r="H127" s="25">
        <v>0</v>
      </c>
      <c r="I127" s="25">
        <v>35000</v>
      </c>
      <c r="J127" s="25">
        <v>0</v>
      </c>
      <c r="K127" s="25">
        <v>0</v>
      </c>
      <c r="L127" s="25">
        <v>0</v>
      </c>
      <c r="M127" s="26">
        <f>IF(G127&gt;0,J127/G127,0)</f>
      </c>
    </row>
    <row r="128" ht="14.4" customHeight="1">
      <c r="A128" s="15" t="str">
        <v/>
      </c>
      <c r="B128" s="16" t="str">
        <v>18 CANON Y SOBRECANON, REGALIAS, RENTA DE ADUANAS Y PARTICIPACIONES</v>
      </c>
      <c r="C128" s="17" t="str">
        <v/>
      </c>
      <c r="D128" s="18">
        <v>101221</v>
      </c>
      <c r="E128" s="18">
        <v>30000</v>
      </c>
      <c r="F128" s="18">
        <v>131221</v>
      </c>
      <c r="G128" s="19">
        <v>63092.520000000004</v>
      </c>
      <c r="H128" s="19">
        <v>63092.520000000004</v>
      </c>
      <c r="I128" s="19">
        <v>95092.52</v>
      </c>
      <c r="J128" s="19">
        <v>59517.520000000004</v>
      </c>
      <c r="K128" s="19">
        <v>23005</v>
      </c>
      <c r="L128" s="19">
        <v>23005</v>
      </c>
      <c r="M128" s="20">
        <f>IF(G128&gt;0,J128/G128,0)</f>
      </c>
    </row>
    <row r="129" ht="14.4" customHeight="1">
      <c r="A129" s="21" t="str">
        <v/>
      </c>
      <c r="B129" s="22" t="str">
        <v>2.3.1.11.1.1     PARA EDIFICIOS Y ESTRUCTURAS</v>
      </c>
      <c r="C129" s="23" t="str">
        <v/>
      </c>
      <c r="D129" s="24">
        <v>830</v>
      </c>
      <c r="E129" s="24">
        <v>0</v>
      </c>
      <c r="F129" s="24">
        <v>830</v>
      </c>
      <c r="G129" s="25">
        <v>830</v>
      </c>
      <c r="H129" s="25">
        <v>830</v>
      </c>
      <c r="I129" s="25">
        <v>830</v>
      </c>
      <c r="J129" s="25">
        <v>830</v>
      </c>
      <c r="K129" s="25">
        <v>0</v>
      </c>
      <c r="L129" s="25">
        <v>0</v>
      </c>
      <c r="M129" s="26">
        <f>IF(G129&gt;0,J129/G129,0)</f>
      </c>
    </row>
    <row r="130" ht="14.4" customHeight="1">
      <c r="A130" s="21" t="str">
        <v/>
      </c>
      <c r="B130" s="22" t="str">
        <v>2.3.1.11.1.5     OTROS MATERIALES DE MANTENIMIENTO</v>
      </c>
      <c r="C130" s="23" t="str">
        <v/>
      </c>
      <c r="D130" s="24">
        <v>32185</v>
      </c>
      <c r="E130" s="24">
        <v>32000</v>
      </c>
      <c r="F130" s="24">
        <v>64185</v>
      </c>
      <c r="G130" s="25">
        <v>32185</v>
      </c>
      <c r="H130" s="25">
        <v>32185</v>
      </c>
      <c r="I130" s="25">
        <v>64185</v>
      </c>
      <c r="J130" s="25">
        <v>32185</v>
      </c>
      <c r="K130" s="25">
        <v>4702.48</v>
      </c>
      <c r="L130" s="25">
        <v>4702.48</v>
      </c>
      <c r="M130" s="26">
        <f>IF(G130&gt;0,J130/G130,0)</f>
      </c>
    </row>
    <row r="131" ht="14.4" customHeight="1">
      <c r="A131" s="21" t="str">
        <v/>
      </c>
      <c r="B131" s="22" t="str">
        <v>2.3.1.5.3.1     ASEO, LIMPIEZA Y TOCADOR</v>
      </c>
      <c r="C131" s="23" t="str">
        <v/>
      </c>
      <c r="D131" s="24">
        <v>335</v>
      </c>
      <c r="E131" s="24">
        <v>0</v>
      </c>
      <c r="F131" s="24">
        <v>335</v>
      </c>
      <c r="G131" s="25">
        <v>0</v>
      </c>
      <c r="H131" s="25">
        <v>0</v>
      </c>
      <c r="I131" s="25">
        <v>0</v>
      </c>
      <c r="J131" s="25">
        <v>0</v>
      </c>
      <c r="K131" s="25">
        <v>0</v>
      </c>
      <c r="L131" s="25">
        <v>0</v>
      </c>
      <c r="M131" s="26">
        <f>IF(G131&gt;0,J131/G131,0)</f>
      </c>
    </row>
    <row r="132" ht="14.4" customHeight="1">
      <c r="A132" s="21" t="str">
        <v/>
      </c>
      <c r="B132" s="22" t="str">
        <v>2.3.1.6.1.4     DE SEGURIDAD</v>
      </c>
      <c r="C132" s="23" t="str">
        <v/>
      </c>
      <c r="D132" s="24">
        <v>8200</v>
      </c>
      <c r="E132" s="24">
        <v>0</v>
      </c>
      <c r="F132" s="24">
        <v>8200</v>
      </c>
      <c r="G132" s="25">
        <v>8200</v>
      </c>
      <c r="H132" s="25">
        <v>8200</v>
      </c>
      <c r="I132" s="25">
        <v>8200</v>
      </c>
      <c r="J132" s="25">
        <v>8200</v>
      </c>
      <c r="K132" s="25">
        <v>0</v>
      </c>
      <c r="L132" s="25">
        <v>0</v>
      </c>
      <c r="M132" s="26">
        <f>IF(G132&gt;0,J132/G132,0)</f>
      </c>
    </row>
    <row r="133" ht="14.4" customHeight="1">
      <c r="A133" s="21" t="str">
        <v/>
      </c>
      <c r="B133" s="22" t="str">
        <v>2.3.1.99.1.1     HERRAMIENTAS</v>
      </c>
      <c r="C133" s="23" t="str">
        <v/>
      </c>
      <c r="D133" s="24">
        <v>8670</v>
      </c>
      <c r="E133" s="24">
        <v>0</v>
      </c>
      <c r="F133" s="24">
        <v>8670</v>
      </c>
      <c r="G133" s="25">
        <v>5597.52</v>
      </c>
      <c r="H133" s="25">
        <v>5597.52</v>
      </c>
      <c r="I133" s="25">
        <v>5597.52</v>
      </c>
      <c r="J133" s="25">
        <v>5597.52</v>
      </c>
      <c r="K133" s="25">
        <v>5597.52</v>
      </c>
      <c r="L133" s="25">
        <v>5597.52</v>
      </c>
      <c r="M133" s="26">
        <f>IF(G133&gt;0,J133/G133,0)</f>
      </c>
    </row>
    <row r="134" ht="14.4" customHeight="1">
      <c r="A134" s="21" t="str">
        <v/>
      </c>
      <c r="B134" s="22" t="str">
        <v>2.3.1.99.1.99     OTROS BIENES</v>
      </c>
      <c r="C134" s="23" t="str">
        <v/>
      </c>
      <c r="D134" s="24">
        <v>2340</v>
      </c>
      <c r="E134" s="24">
        <v>0</v>
      </c>
      <c r="F134" s="24">
        <v>2340</v>
      </c>
      <c r="G134" s="25">
        <v>2340</v>
      </c>
      <c r="H134" s="25">
        <v>2340</v>
      </c>
      <c r="I134" s="25">
        <v>2340</v>
      </c>
      <c r="J134" s="25">
        <v>2340</v>
      </c>
      <c r="K134" s="25">
        <v>2340</v>
      </c>
      <c r="L134" s="25">
        <v>2340</v>
      </c>
      <c r="M134" s="26">
        <f>IF(G134&gt;0,J134/G134,0)</f>
      </c>
    </row>
    <row r="135" ht="14.4" customHeight="1">
      <c r="A135" s="21" t="str">
        <v/>
      </c>
      <c r="B135" s="22" t="str">
        <v>2.3.2.4.3.1     DE CARRETERAS, CAMINOS Y PUENTES  NO CONCESIONADOS</v>
      </c>
      <c r="C135" s="23" t="str">
        <v/>
      </c>
      <c r="D135" s="24">
        <v>86</v>
      </c>
      <c r="E135" s="24">
        <v>0</v>
      </c>
      <c r="F135" s="24">
        <v>86</v>
      </c>
      <c r="G135" s="25">
        <v>0</v>
      </c>
      <c r="H135" s="25">
        <v>0</v>
      </c>
      <c r="I135" s="25">
        <v>0</v>
      </c>
      <c r="J135" s="25">
        <v>0</v>
      </c>
      <c r="K135" s="25">
        <v>0</v>
      </c>
      <c r="L135" s="25">
        <v>0</v>
      </c>
      <c r="M135" s="26">
        <f>IF(G135&gt;0,J135/G135,0)</f>
      </c>
    </row>
    <row r="136" ht="14.4" customHeight="1">
      <c r="A136" s="21" t="str">
        <v/>
      </c>
      <c r="B136" s="22" t="str">
        <v>2.3.2.5.1.1     DE EDIFICIOS Y ESTRUCTURAS</v>
      </c>
      <c r="C136" s="23" t="str">
        <v/>
      </c>
      <c r="D136" s="24">
        <v>1000</v>
      </c>
      <c r="E136" s="24">
        <v>0</v>
      </c>
      <c r="F136" s="24">
        <v>1000</v>
      </c>
      <c r="G136" s="25">
        <v>0</v>
      </c>
      <c r="H136" s="25">
        <v>0</v>
      </c>
      <c r="I136" s="25">
        <v>0</v>
      </c>
      <c r="J136" s="25">
        <v>0</v>
      </c>
      <c r="K136" s="25">
        <v>0</v>
      </c>
      <c r="L136" s="25">
        <v>0</v>
      </c>
      <c r="M136" s="26">
        <f>IF(G136&gt;0,J136/G136,0)</f>
      </c>
    </row>
    <row r="137" ht="14.4" customHeight="1">
      <c r="A137" s="21" t="str">
        <v/>
      </c>
      <c r="B137" s="22" t="str">
        <v>2.3.2.5.1.2     DE VEHICULOS</v>
      </c>
      <c r="C137" s="23" t="str">
        <v/>
      </c>
      <c r="D137" s="24">
        <v>550</v>
      </c>
      <c r="E137" s="24">
        <v>0</v>
      </c>
      <c r="F137" s="24">
        <v>550</v>
      </c>
      <c r="G137" s="25">
        <v>550</v>
      </c>
      <c r="H137" s="25">
        <v>550</v>
      </c>
      <c r="I137" s="25">
        <v>550</v>
      </c>
      <c r="J137" s="25">
        <v>550</v>
      </c>
      <c r="K137" s="25">
        <v>550</v>
      </c>
      <c r="L137" s="25">
        <v>550</v>
      </c>
      <c r="M137" s="26">
        <f>IF(G137&gt;0,J137/G137,0)</f>
      </c>
    </row>
    <row r="138" ht="14.4" customHeight="1">
      <c r="A138" s="21" t="str">
        <v/>
      </c>
      <c r="B138" s="22" t="str">
        <v>2.3.2.5.1.4     DE MAQUINARIAS Y EQUIPOS</v>
      </c>
      <c r="C138" s="23" t="str">
        <v/>
      </c>
      <c r="D138" s="24">
        <v>3891</v>
      </c>
      <c r="E138" s="24">
        <v>0</v>
      </c>
      <c r="F138" s="24">
        <v>3891</v>
      </c>
      <c r="G138" s="25">
        <v>0</v>
      </c>
      <c r="H138" s="25">
        <v>0</v>
      </c>
      <c r="I138" s="25">
        <v>0</v>
      </c>
      <c r="J138" s="25">
        <v>0</v>
      </c>
      <c r="K138" s="25">
        <v>0</v>
      </c>
      <c r="L138" s="25">
        <v>0</v>
      </c>
      <c r="M138" s="26">
        <f>IF(G138&gt;0,J138/G138,0)</f>
      </c>
    </row>
    <row r="139" ht="14.4" customHeight="1">
      <c r="A139" s="21" t="str">
        <v/>
      </c>
      <c r="B139" s="22" t="str">
        <v>2.3.2.7.11.99     SERVICIOS DIVERSOS</v>
      </c>
      <c r="C139" s="23" t="str">
        <v/>
      </c>
      <c r="D139" s="24">
        <v>34420</v>
      </c>
      <c r="E139" s="24">
        <v>0</v>
      </c>
      <c r="F139" s="24">
        <v>34420</v>
      </c>
      <c r="G139" s="25">
        <v>13390</v>
      </c>
      <c r="H139" s="25">
        <v>13390</v>
      </c>
      <c r="I139" s="25">
        <v>13390</v>
      </c>
      <c r="J139" s="25">
        <v>9815</v>
      </c>
      <c r="K139" s="25">
        <v>9815</v>
      </c>
      <c r="L139" s="25">
        <v>9815</v>
      </c>
      <c r="M139" s="26">
        <f>IF(G139&gt;0,J139/G139,0)</f>
      </c>
    </row>
    <row r="140" ht="14.4" customHeight="1">
      <c r="A140" s="21" t="str">
        <v/>
      </c>
      <c r="B140" s="22" t="str">
        <v>2.3.2.7.14.98     OTROS SERVICIOS TÉCNICOS Y PROFESIONALES DESARROLLADOS POR PERSONAS NATURALES</v>
      </c>
      <c r="C140" s="23" t="str">
        <v/>
      </c>
      <c r="D140" s="24">
        <v>8714</v>
      </c>
      <c r="E140" s="24">
        <v>-2000</v>
      </c>
      <c r="F140" s="24">
        <v>6714</v>
      </c>
      <c r="G140" s="25">
        <v>0</v>
      </c>
      <c r="H140" s="25">
        <v>0</v>
      </c>
      <c r="I140" s="25">
        <v>0</v>
      </c>
      <c r="J140" s="25">
        <v>0</v>
      </c>
      <c r="K140" s="25">
        <v>0</v>
      </c>
      <c r="L140" s="25">
        <v>0</v>
      </c>
      <c r="M140" s="26">
        <f>IF(G140&gt;0,J140/G140,0)</f>
      </c>
    </row>
    <row r="141" ht="14.4" customHeight="1">
      <c r="A141" s="15" t="str">
        <v>0013</v>
      </c>
      <c r="B141" s="16" t="str">
        <v>ELABORACION DE EXPEDIENTES TECNICOS</v>
      </c>
      <c r="C141" s="17" t="str">
        <v/>
      </c>
      <c r="D141" s="18">
        <v>804801</v>
      </c>
      <c r="E141" s="18">
        <v>-804801</v>
      </c>
      <c r="F141" s="18">
        <v>0</v>
      </c>
      <c r="G141" s="19">
        <v>0</v>
      </c>
      <c r="H141" s="19">
        <v>0</v>
      </c>
      <c r="I141" s="19">
        <v>0</v>
      </c>
      <c r="J141" s="19">
        <v>0</v>
      </c>
      <c r="K141" s="19">
        <v>0</v>
      </c>
      <c r="L141" s="19">
        <v>0</v>
      </c>
      <c r="M141" s="20">
        <f>IF(G141&gt;0,J141/G141,0)</f>
      </c>
    </row>
    <row r="142" ht="14.4" customHeight="1">
      <c r="A142" s="15" t="str">
        <v/>
      </c>
      <c r="B142" s="16" t="str">
        <v>00 RECURSOS ORDINARIOS</v>
      </c>
      <c r="C142" s="17" t="str">
        <v/>
      </c>
      <c r="D142" s="18">
        <v>804801</v>
      </c>
      <c r="E142" s="18">
        <v>-804801</v>
      </c>
      <c r="F142" s="18">
        <v>0</v>
      </c>
      <c r="G142" s="19">
        <v>0</v>
      </c>
      <c r="H142" s="19">
        <v>0</v>
      </c>
      <c r="I142" s="19">
        <v>0</v>
      </c>
      <c r="J142" s="19">
        <v>0</v>
      </c>
      <c r="K142" s="19">
        <v>0</v>
      </c>
      <c r="L142" s="19">
        <v>0</v>
      </c>
      <c r="M142" s="20">
        <f>IF(G142&gt;0,J142/G142,0)</f>
      </c>
    </row>
    <row r="143" ht="14.4" customHeight="1">
      <c r="A143" s="21" t="str">
        <v/>
      </c>
      <c r="B143" s="22" t="str">
        <v>2.6.8.1.3.1     ELABORACION DE EXPEDIENTES TECNICOS</v>
      </c>
      <c r="C143" s="23" t="str">
        <v/>
      </c>
      <c r="D143" s="24">
        <v>804801</v>
      </c>
      <c r="E143" s="24">
        <v>-804801</v>
      </c>
      <c r="F143" s="24">
        <v>0</v>
      </c>
      <c r="G143" s="25">
        <v>0</v>
      </c>
      <c r="H143" s="25">
        <v>0</v>
      </c>
      <c r="I143" s="25">
        <v>0</v>
      </c>
      <c r="J143" s="25">
        <v>0</v>
      </c>
      <c r="K143" s="25">
        <v>0</v>
      </c>
      <c r="L143" s="25">
        <v>0</v>
      </c>
      <c r="M143" s="26">
        <f>IF(G143&gt;0,J143/G143,0)</f>
      </c>
    </row>
    <row r="144" ht="14.4" customHeight="1">
      <c r="A144" s="15" t="str">
        <v>0014</v>
      </c>
      <c r="B144" s="16" t="str">
        <v>CREACION DEL SERVICIO DE AGUA POTABLE RURAL Y CREACION DEL SERVICIO DE ALCANTARILLADO U OTRAS FORMAS DE DISPOSICION SANITARIA DE EXCRETAS EN LA LOCALIDAD DE JICATE BAJO DISTRITO DE HUANCABAMBA</v>
      </c>
      <c r="C144" s="17" t="str">
        <v/>
      </c>
      <c r="D144" s="18">
        <v>2120295</v>
      </c>
      <c r="E144" s="18">
        <v>32000</v>
      </c>
      <c r="F144" s="18">
        <v>2152295</v>
      </c>
      <c r="G144" s="19">
        <v>2120295</v>
      </c>
      <c r="H144" s="19">
        <v>2120295</v>
      </c>
      <c r="I144" s="19">
        <v>294489.97</v>
      </c>
      <c r="J144" s="19">
        <v>262489.97</v>
      </c>
      <c r="K144" s="19">
        <v>0</v>
      </c>
      <c r="L144" s="19">
        <v>0</v>
      </c>
      <c r="M144" s="20">
        <f>IF(G144&gt;0,J144/G144,0)</f>
      </c>
    </row>
    <row r="145" ht="14.4" customHeight="1">
      <c r="A145" s="15" t="str">
        <v/>
      </c>
      <c r="B145" s="16" t="str">
        <v>00 RECURSOS ORDINARIOS</v>
      </c>
      <c r="C145" s="17" t="str">
        <v/>
      </c>
      <c r="D145" s="18">
        <v>2120295</v>
      </c>
      <c r="E145" s="18">
        <v>0</v>
      </c>
      <c r="F145" s="18">
        <v>2120295</v>
      </c>
      <c r="G145" s="19">
        <v>2120295</v>
      </c>
      <c r="H145" s="19">
        <v>2120295</v>
      </c>
      <c r="I145" s="19">
        <v>262489.97</v>
      </c>
      <c r="J145" s="19">
        <v>262489.97</v>
      </c>
      <c r="K145" s="19">
        <v>0</v>
      </c>
      <c r="L145" s="19">
        <v>0</v>
      </c>
      <c r="M145" s="20">
        <f>IF(G145&gt;0,J145/G145,0)</f>
      </c>
    </row>
    <row r="146" ht="14.4" customHeight="1">
      <c r="A146" s="21" t="str">
        <v/>
      </c>
      <c r="B146" s="22" t="str">
        <v>2.6.2.3.5.2     COSTO DE CONSTRUCCION POR CONTRATA</v>
      </c>
      <c r="C146" s="23" t="str">
        <v/>
      </c>
      <c r="D146" s="24">
        <v>2120295</v>
      </c>
      <c r="E146" s="24">
        <v>0</v>
      </c>
      <c r="F146" s="24">
        <v>2120295</v>
      </c>
      <c r="G146" s="25">
        <v>2120295</v>
      </c>
      <c r="H146" s="25">
        <v>2120295</v>
      </c>
      <c r="I146" s="25">
        <v>262489.97</v>
      </c>
      <c r="J146" s="25">
        <v>262489.97</v>
      </c>
      <c r="K146" s="25">
        <v>0</v>
      </c>
      <c r="L146" s="25">
        <v>0</v>
      </c>
      <c r="M146" s="26">
        <f>IF(G146&gt;0,J146/G146,0)</f>
      </c>
    </row>
    <row r="147" ht="14.4" customHeight="1">
      <c r="A147" s="15" t="str">
        <v/>
      </c>
      <c r="B147" s="16" t="str">
        <v>18 CANON Y SOBRECANON, REGALIAS, RENTA DE ADUANAS Y PARTICIPACIONES</v>
      </c>
      <c r="C147" s="17" t="str">
        <v/>
      </c>
      <c r="D147" s="18">
        <v>0</v>
      </c>
      <c r="E147" s="18">
        <v>32000</v>
      </c>
      <c r="F147" s="18">
        <v>32000</v>
      </c>
      <c r="G147" s="19">
        <v>0</v>
      </c>
      <c r="H147" s="19">
        <v>0</v>
      </c>
      <c r="I147" s="19">
        <v>32000</v>
      </c>
      <c r="J147" s="19">
        <v>0</v>
      </c>
      <c r="K147" s="19">
        <v>0</v>
      </c>
      <c r="L147" s="19">
        <v>0</v>
      </c>
      <c r="M147" s="20">
        <f>IF(G147&gt;0,J147/G147,0)</f>
      </c>
    </row>
    <row r="148" ht="14.4" customHeight="1">
      <c r="A148" s="21" t="str">
        <v/>
      </c>
      <c r="B148" s="22" t="str">
        <v>2.6.8.1.4.3     GASTO POR LA CONTRATACION DE SERVICIOS</v>
      </c>
      <c r="C148" s="23" t="str">
        <v/>
      </c>
      <c r="D148" s="24">
        <v>0</v>
      </c>
      <c r="E148" s="24">
        <v>32000</v>
      </c>
      <c r="F148" s="24">
        <v>32000</v>
      </c>
      <c r="G148" s="25">
        <v>0</v>
      </c>
      <c r="H148" s="25">
        <v>0</v>
      </c>
      <c r="I148" s="25">
        <v>32000</v>
      </c>
      <c r="J148" s="25">
        <v>0</v>
      </c>
      <c r="K148" s="25">
        <v>0</v>
      </c>
      <c r="L148" s="25">
        <v>0</v>
      </c>
      <c r="M148" s="26">
        <f>IF(G148&gt;0,J148/G148,0)</f>
      </c>
    </row>
    <row r="149" ht="14.4" customHeight="1">
      <c r="A149" s="15" t="str">
        <v>0015</v>
      </c>
      <c r="B149" s="16" t="str">
        <v>MEJORAMIENTO Y AMPLIACION DEL SERVICIO DE AGUA POTABLE RURAL EN LOCALIDAD DE QUISPE ALTO, LOCALIDAD DE QUISPE BAJO DEL CENTRO POBLADO QUISPE ALTO, DISTRITO DE HUANCABAMBA, HUANCABAMBA, PIURA</v>
      </c>
      <c r="C149" s="17" t="str">
        <v/>
      </c>
      <c r="D149" s="18">
        <v>3792730</v>
      </c>
      <c r="E149" s="18">
        <v>0</v>
      </c>
      <c r="F149" s="18">
        <v>3792730</v>
      </c>
      <c r="G149" s="19">
        <v>0</v>
      </c>
      <c r="H149" s="19">
        <v>0</v>
      </c>
      <c r="I149" s="19">
        <v>0</v>
      </c>
      <c r="J149" s="19">
        <v>0</v>
      </c>
      <c r="K149" s="19">
        <v>0</v>
      </c>
      <c r="L149" s="19">
        <v>0</v>
      </c>
      <c r="M149" s="20">
        <f>IF(G149&gt;0,J149/G149,0)</f>
      </c>
    </row>
    <row r="150" ht="14.4" customHeight="1">
      <c r="A150" s="15" t="str">
        <v/>
      </c>
      <c r="B150" s="16" t="str">
        <v>00 RECURSOS ORDINARIOS</v>
      </c>
      <c r="C150" s="17" t="str">
        <v/>
      </c>
      <c r="D150" s="18">
        <v>3792730</v>
      </c>
      <c r="E150" s="18">
        <v>0</v>
      </c>
      <c r="F150" s="18">
        <v>3792730</v>
      </c>
      <c r="G150" s="19">
        <v>0</v>
      </c>
      <c r="H150" s="19">
        <v>0</v>
      </c>
      <c r="I150" s="19">
        <v>0</v>
      </c>
      <c r="J150" s="19">
        <v>0</v>
      </c>
      <c r="K150" s="19">
        <v>0</v>
      </c>
      <c r="L150" s="19">
        <v>0</v>
      </c>
      <c r="M150" s="20">
        <f>IF(G150&gt;0,J150/G150,0)</f>
      </c>
    </row>
    <row r="151" ht="14.4" customHeight="1">
      <c r="A151" s="21" t="str">
        <v/>
      </c>
      <c r="B151" s="22" t="str">
        <v>2.6.2.3.5.2     COSTO DE CONSTRUCCION POR CONTRATA</v>
      </c>
      <c r="C151" s="23" t="str">
        <v/>
      </c>
      <c r="D151" s="24">
        <v>3792730</v>
      </c>
      <c r="E151" s="24">
        <v>0</v>
      </c>
      <c r="F151" s="24">
        <v>3792730</v>
      </c>
      <c r="G151" s="25">
        <v>0</v>
      </c>
      <c r="H151" s="25">
        <v>0</v>
      </c>
      <c r="I151" s="25">
        <v>0</v>
      </c>
      <c r="J151" s="25">
        <v>0</v>
      </c>
      <c r="K151" s="25">
        <v>0</v>
      </c>
      <c r="L151" s="25">
        <v>0</v>
      </c>
      <c r="M151" s="26">
        <f>IF(G151&gt;0,J151/G151,0)</f>
      </c>
    </row>
    <row r="152" ht="14.4" customHeight="1">
      <c r="A152" s="15" t="str">
        <v>0016</v>
      </c>
      <c r="B152" s="16" t="str">
        <v>CONSTRUCCION DE CANAL DE RIEGO</v>
      </c>
      <c r="C152" s="17" t="str">
        <v/>
      </c>
      <c r="D152" s="18">
        <v>1400279</v>
      </c>
      <c r="E152" s="18">
        <v>1225937</v>
      </c>
      <c r="F152" s="18">
        <v>2626216</v>
      </c>
      <c r="G152" s="19">
        <v>0</v>
      </c>
      <c r="H152" s="19">
        <v>0</v>
      </c>
      <c r="I152" s="19">
        <v>0</v>
      </c>
      <c r="J152" s="19">
        <v>0</v>
      </c>
      <c r="K152" s="19">
        <v>0</v>
      </c>
      <c r="L152" s="19">
        <v>0</v>
      </c>
      <c r="M152" s="20">
        <f>IF(G152&gt;0,J152/G152,0)</f>
      </c>
    </row>
    <row r="153" ht="14.4" customHeight="1">
      <c r="A153" s="15" t="str">
        <v/>
      </c>
      <c r="B153" s="16" t="str">
        <v>18 CANON Y SOBRECANON, REGALIAS, RENTA DE ADUANAS Y PARTICIPACIONES</v>
      </c>
      <c r="C153" s="17" t="str">
        <v/>
      </c>
      <c r="D153" s="18">
        <v>1400279</v>
      </c>
      <c r="E153" s="18">
        <v>1225937</v>
      </c>
      <c r="F153" s="18">
        <v>2626216</v>
      </c>
      <c r="G153" s="19">
        <v>0</v>
      </c>
      <c r="H153" s="19">
        <v>0</v>
      </c>
      <c r="I153" s="19">
        <v>0</v>
      </c>
      <c r="J153" s="19">
        <v>0</v>
      </c>
      <c r="K153" s="19">
        <v>0</v>
      </c>
      <c r="L153" s="19">
        <v>0</v>
      </c>
      <c r="M153" s="20">
        <f>IF(G153&gt;0,J153/G153,0)</f>
      </c>
    </row>
    <row r="154" ht="14.4" customHeight="1">
      <c r="A154" s="21" t="str">
        <v/>
      </c>
      <c r="B154" s="22" t="str">
        <v>2.6.2.3.5.2     COSTO DE CONSTRUCCION POR CONTRATA</v>
      </c>
      <c r="C154" s="23" t="str">
        <v/>
      </c>
      <c r="D154" s="24">
        <v>1400279</v>
      </c>
      <c r="E154" s="24">
        <v>1225937</v>
      </c>
      <c r="F154" s="24">
        <v>2626216</v>
      </c>
      <c r="G154" s="25">
        <v>0</v>
      </c>
      <c r="H154" s="25">
        <v>0</v>
      </c>
      <c r="I154" s="25">
        <v>0</v>
      </c>
      <c r="J154" s="25">
        <v>0</v>
      </c>
      <c r="K154" s="25">
        <v>0</v>
      </c>
      <c r="L154" s="25">
        <v>0</v>
      </c>
      <c r="M154" s="26">
        <f>IF(G154&gt;0,J154/G154,0)</f>
      </c>
    </row>
    <row r="155" ht="14.4" customHeight="1">
      <c r="A155" s="15" t="str">
        <v>0017</v>
      </c>
      <c r="B155" s="16" t="str">
        <v>POTABILIZACION Y OTRAS FORMAS DE DESINFECCION Y TRATAMIENTO</v>
      </c>
      <c r="C155" s="17" t="str">
        <v/>
      </c>
      <c r="D155" s="18">
        <v>67000</v>
      </c>
      <c r="E155" s="18">
        <v>0</v>
      </c>
      <c r="F155" s="18">
        <v>67000</v>
      </c>
      <c r="G155" s="19">
        <v>13000</v>
      </c>
      <c r="H155" s="19">
        <v>9000</v>
      </c>
      <c r="I155" s="19">
        <v>56200</v>
      </c>
      <c r="J155" s="19">
        <v>11000</v>
      </c>
      <c r="K155" s="19">
        <v>11000</v>
      </c>
      <c r="L155" s="19">
        <v>11000</v>
      </c>
      <c r="M155" s="20">
        <f>IF(G155&gt;0,J155/G155,0)</f>
      </c>
    </row>
    <row r="156" ht="14.4" customHeight="1">
      <c r="A156" s="15" t="str">
        <v/>
      </c>
      <c r="B156" s="16" t="str">
        <v>07 FONDO DE COMPENSACION MUNICIPAL</v>
      </c>
      <c r="C156" s="17" t="str">
        <v/>
      </c>
      <c r="D156" s="18">
        <v>67000</v>
      </c>
      <c r="E156" s="18">
        <v>0</v>
      </c>
      <c r="F156" s="18">
        <v>67000</v>
      </c>
      <c r="G156" s="19">
        <v>13000</v>
      </c>
      <c r="H156" s="19">
        <v>9000</v>
      </c>
      <c r="I156" s="19">
        <v>56200</v>
      </c>
      <c r="J156" s="19">
        <v>11000</v>
      </c>
      <c r="K156" s="19">
        <v>11000</v>
      </c>
      <c r="L156" s="19">
        <v>11000</v>
      </c>
      <c r="M156" s="20">
        <f>IF(G156&gt;0,J156/G156,0)</f>
      </c>
    </row>
    <row r="157" ht="14.4" customHeight="1">
      <c r="A157" s="21" t="str">
        <v/>
      </c>
      <c r="B157" s="22" t="str">
        <v>2.3.2.7.11.99     SERVICIOS DIVERSOS</v>
      </c>
      <c r="C157" s="23" t="str">
        <v/>
      </c>
      <c r="D157" s="24">
        <v>67000</v>
      </c>
      <c r="E157" s="24">
        <v>0</v>
      </c>
      <c r="F157" s="24">
        <v>67000</v>
      </c>
      <c r="G157" s="25">
        <v>13000</v>
      </c>
      <c r="H157" s="25">
        <v>9000</v>
      </c>
      <c r="I157" s="25">
        <v>56200</v>
      </c>
      <c r="J157" s="25">
        <v>11000</v>
      </c>
      <c r="K157" s="25">
        <v>11000</v>
      </c>
      <c r="L157" s="25">
        <v>11000</v>
      </c>
      <c r="M157" s="26">
        <f>IF(G157&gt;0,J157/G157,0)</f>
      </c>
    </row>
    <row r="158" ht="14.4" customHeight="1">
      <c r="A158" s="15" t="str">
        <v>0018</v>
      </c>
      <c r="B158" s="16" t="str">
        <v>OPERACION Y MANTENIMIENTO DE LOS SISTEMAS DE AGUA POTABLE</v>
      </c>
      <c r="C158" s="17" t="str">
        <v/>
      </c>
      <c r="D158" s="18">
        <v>766621</v>
      </c>
      <c r="E158" s="18">
        <v>-72002</v>
      </c>
      <c r="F158" s="18">
        <v>694619</v>
      </c>
      <c r="G158" s="19">
        <v>124910</v>
      </c>
      <c r="H158" s="19">
        <v>106910</v>
      </c>
      <c r="I158" s="19">
        <v>178610</v>
      </c>
      <c r="J158" s="19">
        <v>169610</v>
      </c>
      <c r="K158" s="19">
        <v>102646</v>
      </c>
      <c r="L158" s="19">
        <v>102646</v>
      </c>
      <c r="M158" s="20">
        <f>IF(G158&gt;0,J158/G158,0)</f>
      </c>
    </row>
    <row r="159" ht="14.4" customHeight="1">
      <c r="A159" s="15" t="str">
        <v/>
      </c>
      <c r="B159" s="16" t="str">
        <v>07 FONDO DE COMPENSACION MUNICIPAL</v>
      </c>
      <c r="C159" s="17" t="str">
        <v/>
      </c>
      <c r="D159" s="18">
        <v>165983</v>
      </c>
      <c r="E159" s="18">
        <v>-10000</v>
      </c>
      <c r="F159" s="18">
        <v>155983</v>
      </c>
      <c r="G159" s="19">
        <v>10000</v>
      </c>
      <c r="H159" s="19">
        <v>0</v>
      </c>
      <c r="I159" s="19">
        <v>0</v>
      </c>
      <c r="J159" s="19">
        <v>0</v>
      </c>
      <c r="K159" s="19">
        <v>0</v>
      </c>
      <c r="L159" s="19">
        <v>0</v>
      </c>
      <c r="M159" s="20">
        <f>IF(G159&gt;0,J159/G159,0)</f>
      </c>
    </row>
    <row r="160" ht="14.4" customHeight="1">
      <c r="A160" s="21" t="str">
        <v/>
      </c>
      <c r="B160" s="22" t="str">
        <v>2.3.1.1.1.1     ALIMENTOS Y BEBIDAS PARA CONSUMO HUMANO</v>
      </c>
      <c r="C160" s="23" t="str">
        <v/>
      </c>
      <c r="D160" s="24">
        <v>15000</v>
      </c>
      <c r="E160" s="24">
        <v>-15000</v>
      </c>
      <c r="F160" s="24">
        <v>0</v>
      </c>
      <c r="G160" s="25">
        <v>0</v>
      </c>
      <c r="H160" s="25">
        <v>0</v>
      </c>
      <c r="I160" s="25">
        <v>0</v>
      </c>
      <c r="J160" s="25">
        <v>0</v>
      </c>
      <c r="K160" s="25">
        <v>0</v>
      </c>
      <c r="L160" s="25">
        <v>0</v>
      </c>
      <c r="M160" s="26">
        <f>IF(G160&gt;0,J160/G160,0)</f>
      </c>
    </row>
    <row r="161" ht="14.4" customHeight="1">
      <c r="A161" s="21" t="str">
        <v/>
      </c>
      <c r="B161" s="22" t="str">
        <v>2.3.1.11.1.1     PARA EDIFICIOS Y ESTRUCTURAS</v>
      </c>
      <c r="C161" s="23" t="str">
        <v/>
      </c>
      <c r="D161" s="24">
        <v>2000</v>
      </c>
      <c r="E161" s="24">
        <v>0</v>
      </c>
      <c r="F161" s="24">
        <v>2000</v>
      </c>
      <c r="G161" s="25">
        <v>0</v>
      </c>
      <c r="H161" s="25">
        <v>0</v>
      </c>
      <c r="I161" s="25">
        <v>0</v>
      </c>
      <c r="J161" s="25">
        <v>0</v>
      </c>
      <c r="K161" s="25">
        <v>0</v>
      </c>
      <c r="L161" s="25">
        <v>0</v>
      </c>
      <c r="M161" s="26">
        <f>IF(G161&gt;0,J161/G161,0)</f>
      </c>
    </row>
    <row r="162" ht="14.4" customHeight="1">
      <c r="A162" s="21" t="str">
        <v/>
      </c>
      <c r="B162" s="22" t="str">
        <v>2.3.1.11.1.5     OTROS MATERIALES DE MANTENIMIENTO</v>
      </c>
      <c r="C162" s="23" t="str">
        <v/>
      </c>
      <c r="D162" s="24">
        <v>66659</v>
      </c>
      <c r="E162" s="24">
        <v>0</v>
      </c>
      <c r="F162" s="24">
        <v>66659</v>
      </c>
      <c r="G162" s="25">
        <v>0</v>
      </c>
      <c r="H162" s="25">
        <v>0</v>
      </c>
      <c r="I162" s="25">
        <v>0</v>
      </c>
      <c r="J162" s="25">
        <v>0</v>
      </c>
      <c r="K162" s="25">
        <v>0</v>
      </c>
      <c r="L162" s="25">
        <v>0</v>
      </c>
      <c r="M162" s="26">
        <f>IF(G162&gt;0,J162/G162,0)</f>
      </c>
    </row>
    <row r="163" ht="14.4" customHeight="1">
      <c r="A163" s="21" t="str">
        <v/>
      </c>
      <c r="B163" s="22" t="str">
        <v>2.3.1.2.1.1     VESTUARIO, ACCESORIOS Y PRENDAS DIVERSAS</v>
      </c>
      <c r="C163" s="23" t="str">
        <v/>
      </c>
      <c r="D163" s="24">
        <v>10000</v>
      </c>
      <c r="E163" s="24">
        <v>-5675</v>
      </c>
      <c r="F163" s="24">
        <v>4325</v>
      </c>
      <c r="G163" s="25">
        <v>0</v>
      </c>
      <c r="H163" s="25">
        <v>0</v>
      </c>
      <c r="I163" s="25">
        <v>0</v>
      </c>
      <c r="J163" s="25">
        <v>0</v>
      </c>
      <c r="K163" s="25">
        <v>0</v>
      </c>
      <c r="L163" s="25">
        <v>0</v>
      </c>
      <c r="M163" s="26">
        <f>IF(G163&gt;0,J163/G163,0)</f>
      </c>
    </row>
    <row r="164" ht="14.4" customHeight="1">
      <c r="A164" s="21" t="str">
        <v/>
      </c>
      <c r="B164" s="22" t="str">
        <v>2.3.1.2.1.3     CALZADO</v>
      </c>
      <c r="C164" s="23" t="str">
        <v/>
      </c>
      <c r="D164" s="24">
        <v>5000</v>
      </c>
      <c r="E164" s="24">
        <v>0</v>
      </c>
      <c r="F164" s="24">
        <v>5000</v>
      </c>
      <c r="G164" s="25">
        <v>0</v>
      </c>
      <c r="H164" s="25">
        <v>0</v>
      </c>
      <c r="I164" s="25">
        <v>0</v>
      </c>
      <c r="J164" s="25">
        <v>0</v>
      </c>
      <c r="K164" s="25">
        <v>0</v>
      </c>
      <c r="L164" s="25">
        <v>0</v>
      </c>
      <c r="M164" s="26">
        <f>IF(G164&gt;0,J164/G164,0)</f>
      </c>
    </row>
    <row r="165" ht="14.4" customHeight="1">
      <c r="A165" s="21" t="str">
        <v/>
      </c>
      <c r="B165" s="22" t="str">
        <v>2.3.1.3.1.1     COMBUSTIBLES Y CARBURANTES</v>
      </c>
      <c r="C165" s="23" t="str">
        <v/>
      </c>
      <c r="D165" s="24">
        <v>10000</v>
      </c>
      <c r="E165" s="24">
        <v>0</v>
      </c>
      <c r="F165" s="24">
        <v>10000</v>
      </c>
      <c r="G165" s="25">
        <v>10000</v>
      </c>
      <c r="H165" s="25">
        <v>0</v>
      </c>
      <c r="I165" s="25">
        <v>0</v>
      </c>
      <c r="J165" s="25">
        <v>0</v>
      </c>
      <c r="K165" s="25">
        <v>0</v>
      </c>
      <c r="L165" s="25">
        <v>0</v>
      </c>
      <c r="M165" s="26">
        <f>IF(G165&gt;0,J165/G165,0)</f>
      </c>
    </row>
    <row r="166" ht="14.4" customHeight="1">
      <c r="A166" s="21" t="str">
        <v/>
      </c>
      <c r="B166" s="22" t="str">
        <v>2.3.1.5.1.2     PAPELERIA EN GENERAL, UTILES Y MATERIALES DE OFICINA</v>
      </c>
      <c r="C166" s="23" t="str">
        <v/>
      </c>
      <c r="D166" s="24">
        <v>16870</v>
      </c>
      <c r="E166" s="24">
        <v>7900</v>
      </c>
      <c r="F166" s="24">
        <v>24770</v>
      </c>
      <c r="G166" s="25">
        <v>0</v>
      </c>
      <c r="H166" s="25">
        <v>0</v>
      </c>
      <c r="I166" s="25">
        <v>0</v>
      </c>
      <c r="J166" s="25">
        <v>0</v>
      </c>
      <c r="K166" s="25">
        <v>0</v>
      </c>
      <c r="L166" s="25">
        <v>0</v>
      </c>
      <c r="M166" s="26">
        <f>IF(G166&gt;0,J166/G166,0)</f>
      </c>
    </row>
    <row r="167" ht="14.4" customHeight="1">
      <c r="A167" s="21" t="str">
        <v/>
      </c>
      <c r="B167" s="22" t="str">
        <v>2.3.1.5.3.1     ASEO, LIMPIEZA Y TOCADOR</v>
      </c>
      <c r="C167" s="23" t="str">
        <v/>
      </c>
      <c r="D167" s="24">
        <v>6760</v>
      </c>
      <c r="E167" s="24">
        <v>-5000</v>
      </c>
      <c r="F167" s="24">
        <v>1760</v>
      </c>
      <c r="G167" s="25">
        <v>0</v>
      </c>
      <c r="H167" s="25">
        <v>0</v>
      </c>
      <c r="I167" s="25">
        <v>0</v>
      </c>
      <c r="J167" s="25">
        <v>0</v>
      </c>
      <c r="K167" s="25">
        <v>0</v>
      </c>
      <c r="L167" s="25">
        <v>0</v>
      </c>
      <c r="M167" s="26">
        <f>IF(G167&gt;0,J167/G167,0)</f>
      </c>
    </row>
    <row r="168" ht="14.4" customHeight="1">
      <c r="A168" s="21" t="str">
        <v/>
      </c>
      <c r="B168" s="22" t="str">
        <v>2.3.1.6.1.4     DE SEGURIDAD</v>
      </c>
      <c r="C168" s="23" t="str">
        <v/>
      </c>
      <c r="D168" s="24">
        <v>2025</v>
      </c>
      <c r="E168" s="24">
        <v>0</v>
      </c>
      <c r="F168" s="24">
        <v>2025</v>
      </c>
      <c r="G168" s="25">
        <v>0</v>
      </c>
      <c r="H168" s="25">
        <v>0</v>
      </c>
      <c r="I168" s="25">
        <v>0</v>
      </c>
      <c r="J168" s="25">
        <v>0</v>
      </c>
      <c r="K168" s="25">
        <v>0</v>
      </c>
      <c r="L168" s="25">
        <v>0</v>
      </c>
      <c r="M168" s="26">
        <f>IF(G168&gt;0,J168/G168,0)</f>
      </c>
    </row>
    <row r="169" ht="14.4" customHeight="1">
      <c r="A169" s="21" t="str">
        <v/>
      </c>
      <c r="B169" s="22" t="str">
        <v>2.3.1.99.1.1     HERRAMIENTAS</v>
      </c>
      <c r="C169" s="23" t="str">
        <v/>
      </c>
      <c r="D169" s="24">
        <v>3880</v>
      </c>
      <c r="E169" s="24">
        <v>0</v>
      </c>
      <c r="F169" s="24">
        <v>3880</v>
      </c>
      <c r="G169" s="25">
        <v>0</v>
      </c>
      <c r="H169" s="25">
        <v>0</v>
      </c>
      <c r="I169" s="25">
        <v>0</v>
      </c>
      <c r="J169" s="25">
        <v>0</v>
      </c>
      <c r="K169" s="25">
        <v>0</v>
      </c>
      <c r="L169" s="25">
        <v>0</v>
      </c>
      <c r="M169" s="26">
        <f>IF(G169&gt;0,J169/G169,0)</f>
      </c>
    </row>
    <row r="170" ht="14.4" customHeight="1">
      <c r="A170" s="21" t="str">
        <v/>
      </c>
      <c r="B170" s="22" t="str">
        <v>2.3.1.99.1.2     PRODUCTOS QUIMICOS</v>
      </c>
      <c r="C170" s="23" t="str">
        <v/>
      </c>
      <c r="D170" s="24">
        <v>19125</v>
      </c>
      <c r="E170" s="24">
        <v>6675</v>
      </c>
      <c r="F170" s="24">
        <v>25800</v>
      </c>
      <c r="G170" s="25">
        <v>0</v>
      </c>
      <c r="H170" s="25">
        <v>0</v>
      </c>
      <c r="I170" s="25">
        <v>0</v>
      </c>
      <c r="J170" s="25">
        <v>0</v>
      </c>
      <c r="K170" s="25">
        <v>0</v>
      </c>
      <c r="L170" s="25">
        <v>0</v>
      </c>
      <c r="M170" s="26">
        <f>IF(G170&gt;0,J170/G170,0)</f>
      </c>
    </row>
    <row r="171" ht="14.4" customHeight="1">
      <c r="A171" s="21" t="str">
        <v/>
      </c>
      <c r="B171" s="22" t="str">
        <v>2.3.2.5.1.2     DE VEHICULOS</v>
      </c>
      <c r="C171" s="23" t="str">
        <v/>
      </c>
      <c r="D171" s="24">
        <v>8664</v>
      </c>
      <c r="E171" s="24">
        <v>1100</v>
      </c>
      <c r="F171" s="24">
        <v>9764</v>
      </c>
      <c r="G171" s="25">
        <v>0</v>
      </c>
      <c r="H171" s="25">
        <v>0</v>
      </c>
      <c r="I171" s="25">
        <v>0</v>
      </c>
      <c r="J171" s="25">
        <v>0</v>
      </c>
      <c r="K171" s="25">
        <v>0</v>
      </c>
      <c r="L171" s="25">
        <v>0</v>
      </c>
      <c r="M171" s="26">
        <f>IF(G171&gt;0,J171/G171,0)</f>
      </c>
    </row>
    <row r="172" ht="14.4" customHeight="1">
      <c r="A172" s="15" t="str">
        <v/>
      </c>
      <c r="B172" s="16" t="str">
        <v>18 CANON Y SOBRECANON, REGALIAS, RENTA DE ADUANAS Y PARTICIPACIONES</v>
      </c>
      <c r="C172" s="17" t="str">
        <v/>
      </c>
      <c r="D172" s="18">
        <v>600638</v>
      </c>
      <c r="E172" s="18">
        <v>-62002</v>
      </c>
      <c r="F172" s="18">
        <v>538636</v>
      </c>
      <c r="G172" s="19">
        <v>114910</v>
      </c>
      <c r="H172" s="19">
        <v>106910</v>
      </c>
      <c r="I172" s="19">
        <v>178610</v>
      </c>
      <c r="J172" s="19">
        <v>169610</v>
      </c>
      <c r="K172" s="19">
        <v>102646</v>
      </c>
      <c r="L172" s="19">
        <v>102646</v>
      </c>
      <c r="M172" s="20">
        <f>IF(G172&gt;0,J172/G172,0)</f>
      </c>
    </row>
    <row r="173" ht="14.4" customHeight="1">
      <c r="A173" s="21" t="str">
        <v/>
      </c>
      <c r="B173" s="22" t="str">
        <v>2.3.1.11.1.1     PARA EDIFICIOS Y ESTRUCTURAS</v>
      </c>
      <c r="C173" s="23" t="str">
        <v/>
      </c>
      <c r="D173" s="24">
        <v>25000</v>
      </c>
      <c r="E173" s="24">
        <v>0</v>
      </c>
      <c r="F173" s="24">
        <v>25000</v>
      </c>
      <c r="G173" s="25">
        <v>24840</v>
      </c>
      <c r="H173" s="25">
        <v>24840</v>
      </c>
      <c r="I173" s="25">
        <v>24840</v>
      </c>
      <c r="J173" s="25">
        <v>24840</v>
      </c>
      <c r="K173" s="25">
        <v>14840</v>
      </c>
      <c r="L173" s="25">
        <v>14840</v>
      </c>
      <c r="M173" s="26">
        <f>IF(G173&gt;0,J173/G173,0)</f>
      </c>
    </row>
    <row r="174" ht="14.4" customHeight="1">
      <c r="A174" s="21" t="str">
        <v/>
      </c>
      <c r="B174" s="22" t="str">
        <v>2.3.1.11.1.5     OTROS MATERIALES DE MANTENIMIENTO</v>
      </c>
      <c r="C174" s="23" t="str">
        <v/>
      </c>
      <c r="D174" s="24">
        <v>50000</v>
      </c>
      <c r="E174" s="24">
        <v>-30000</v>
      </c>
      <c r="F174" s="24">
        <v>20000</v>
      </c>
      <c r="G174" s="25">
        <v>20000</v>
      </c>
      <c r="H174" s="25">
        <v>20000</v>
      </c>
      <c r="I174" s="25">
        <v>20000</v>
      </c>
      <c r="J174" s="25">
        <v>20000</v>
      </c>
      <c r="K174" s="25">
        <v>0</v>
      </c>
      <c r="L174" s="25">
        <v>0</v>
      </c>
      <c r="M174" s="26">
        <f>IF(G174&gt;0,J174/G174,0)</f>
      </c>
    </row>
    <row r="175" ht="14.4" customHeight="1">
      <c r="A175" s="21" t="str">
        <v/>
      </c>
      <c r="B175" s="22" t="str">
        <v>2.3.1.2.1.1     VESTUARIO, ACCESORIOS Y PRENDAS DIVERSAS</v>
      </c>
      <c r="C175" s="23" t="str">
        <v/>
      </c>
      <c r="D175" s="24">
        <v>5150</v>
      </c>
      <c r="E175" s="24">
        <v>-5150</v>
      </c>
      <c r="F175" s="24">
        <v>0</v>
      </c>
      <c r="G175" s="25">
        <v>0</v>
      </c>
      <c r="H175" s="25">
        <v>0</v>
      </c>
      <c r="I175" s="25">
        <v>0</v>
      </c>
      <c r="J175" s="25">
        <v>0</v>
      </c>
      <c r="K175" s="25">
        <v>0</v>
      </c>
      <c r="L175" s="25">
        <v>0</v>
      </c>
      <c r="M175" s="26">
        <f>IF(G175&gt;0,J175/G175,0)</f>
      </c>
    </row>
    <row r="176" ht="14.4" customHeight="1">
      <c r="A176" s="21" t="str">
        <v/>
      </c>
      <c r="B176" s="22" t="str">
        <v>2.3.1.2.1.3     CALZADO</v>
      </c>
      <c r="C176" s="23" t="str">
        <v/>
      </c>
      <c r="D176" s="24">
        <v>5000</v>
      </c>
      <c r="E176" s="24">
        <v>-5000</v>
      </c>
      <c r="F176" s="24">
        <v>0</v>
      </c>
      <c r="G176" s="25">
        <v>0</v>
      </c>
      <c r="H176" s="25">
        <v>0</v>
      </c>
      <c r="I176" s="25">
        <v>0</v>
      </c>
      <c r="J176" s="25">
        <v>0</v>
      </c>
      <c r="K176" s="25">
        <v>0</v>
      </c>
      <c r="L176" s="25">
        <v>0</v>
      </c>
      <c r="M176" s="26">
        <f>IF(G176&gt;0,J176/G176,0)</f>
      </c>
    </row>
    <row r="177" ht="14.4" customHeight="1">
      <c r="A177" s="21" t="str">
        <v/>
      </c>
      <c r="B177" s="22" t="str">
        <v>2.3.1.5.3.1     ASEO, LIMPIEZA Y TOCADOR</v>
      </c>
      <c r="C177" s="23" t="str">
        <v/>
      </c>
      <c r="D177" s="24">
        <v>8852</v>
      </c>
      <c r="E177" s="24">
        <v>-8852</v>
      </c>
      <c r="F177" s="24">
        <v>0</v>
      </c>
      <c r="G177" s="25">
        <v>0</v>
      </c>
      <c r="H177" s="25">
        <v>0</v>
      </c>
      <c r="I177" s="25">
        <v>0</v>
      </c>
      <c r="J177" s="25">
        <v>0</v>
      </c>
      <c r="K177" s="25">
        <v>0</v>
      </c>
      <c r="L177" s="25">
        <v>0</v>
      </c>
      <c r="M177" s="26">
        <f>IF(G177&gt;0,J177/G177,0)</f>
      </c>
    </row>
    <row r="178" ht="14.4" customHeight="1">
      <c r="A178" s="21" t="str">
        <v/>
      </c>
      <c r="B178" s="22" t="str">
        <v>2.3.1.6.1.1     DE VEHICULOS</v>
      </c>
      <c r="C178" s="23" t="str">
        <v/>
      </c>
      <c r="D178" s="24">
        <v>1248</v>
      </c>
      <c r="E178" s="24">
        <v>0</v>
      </c>
      <c r="F178" s="24">
        <v>1248</v>
      </c>
      <c r="G178" s="25">
        <v>0</v>
      </c>
      <c r="H178" s="25">
        <v>0</v>
      </c>
      <c r="I178" s="25">
        <v>0</v>
      </c>
      <c r="J178" s="25">
        <v>0</v>
      </c>
      <c r="K178" s="25">
        <v>0</v>
      </c>
      <c r="L178" s="25">
        <v>0</v>
      </c>
      <c r="M178" s="26">
        <f>IF(G178&gt;0,J178/G178,0)</f>
      </c>
    </row>
    <row r="179" ht="14.4" customHeight="1">
      <c r="A179" s="21" t="str">
        <v/>
      </c>
      <c r="B179" s="22" t="str">
        <v>2.3.1.6.1.4     DE SEGURIDAD</v>
      </c>
      <c r="C179" s="23" t="str">
        <v/>
      </c>
      <c r="D179" s="24">
        <v>25000</v>
      </c>
      <c r="E179" s="24">
        <v>0</v>
      </c>
      <c r="F179" s="24">
        <v>25000</v>
      </c>
      <c r="G179" s="25">
        <v>25000</v>
      </c>
      <c r="H179" s="25">
        <v>25000</v>
      </c>
      <c r="I179" s="25">
        <v>25000</v>
      </c>
      <c r="J179" s="25">
        <v>25000</v>
      </c>
      <c r="K179" s="25">
        <v>20000</v>
      </c>
      <c r="L179" s="25">
        <v>20000</v>
      </c>
      <c r="M179" s="26">
        <f>IF(G179&gt;0,J179/G179,0)</f>
      </c>
    </row>
    <row r="180" ht="14.4" customHeight="1">
      <c r="A180" s="21" t="str">
        <v/>
      </c>
      <c r="B180" s="22" t="str">
        <v>2.3.1.99.1.1     HERRAMIENTAS</v>
      </c>
      <c r="C180" s="23" t="str">
        <v/>
      </c>
      <c r="D180" s="24">
        <v>20000</v>
      </c>
      <c r="E180" s="24">
        <v>-13000</v>
      </c>
      <c r="F180" s="24">
        <v>7000</v>
      </c>
      <c r="G180" s="25">
        <v>5464</v>
      </c>
      <c r="H180" s="25">
        <v>5464</v>
      </c>
      <c r="I180" s="25">
        <v>5464</v>
      </c>
      <c r="J180" s="25">
        <v>5464</v>
      </c>
      <c r="K180" s="25">
        <v>0</v>
      </c>
      <c r="L180" s="25">
        <v>0</v>
      </c>
      <c r="M180" s="26">
        <f>IF(G180&gt;0,J180/G180,0)</f>
      </c>
    </row>
    <row r="181" ht="14.4" customHeight="1">
      <c r="A181" s="21" t="str">
        <v/>
      </c>
      <c r="B181" s="22" t="str">
        <v>2.3.1.99.1.99     OTROS BIENES</v>
      </c>
      <c r="C181" s="23" t="str">
        <v/>
      </c>
      <c r="D181" s="24">
        <v>2000</v>
      </c>
      <c r="E181" s="24">
        <v>0</v>
      </c>
      <c r="F181" s="24">
        <v>2000</v>
      </c>
      <c r="G181" s="25">
        <v>0</v>
      </c>
      <c r="H181" s="25">
        <v>0</v>
      </c>
      <c r="I181" s="25">
        <v>0</v>
      </c>
      <c r="J181" s="25">
        <v>0</v>
      </c>
      <c r="K181" s="25">
        <v>0</v>
      </c>
      <c r="L181" s="25">
        <v>0</v>
      </c>
      <c r="M181" s="26">
        <f>IF(G181&gt;0,J181/G181,0)</f>
      </c>
    </row>
    <row r="182" ht="14.4" customHeight="1">
      <c r="A182" s="21" t="str">
        <v/>
      </c>
      <c r="B182" s="22" t="str">
        <v>2.3.2.4.5.1     DE VEHICULOS</v>
      </c>
      <c r="C182" s="23" t="str">
        <v/>
      </c>
      <c r="D182" s="24">
        <v>4000</v>
      </c>
      <c r="E182" s="24">
        <v>0</v>
      </c>
      <c r="F182" s="24">
        <v>4000</v>
      </c>
      <c r="G182" s="25">
        <v>0</v>
      </c>
      <c r="H182" s="25">
        <v>0</v>
      </c>
      <c r="I182" s="25">
        <v>0</v>
      </c>
      <c r="J182" s="25">
        <v>0</v>
      </c>
      <c r="K182" s="25">
        <v>0</v>
      </c>
      <c r="L182" s="25">
        <v>0</v>
      </c>
      <c r="M182" s="26">
        <f>IF(G182&gt;0,J182/G182,0)</f>
      </c>
    </row>
    <row r="183" ht="14.4" customHeight="1">
      <c r="A183" s="21" t="str">
        <v/>
      </c>
      <c r="B183" s="22" t="str">
        <v>2.3.2.5.1.2     DE VEHICULOS</v>
      </c>
      <c r="C183" s="23" t="str">
        <v/>
      </c>
      <c r="D183" s="24">
        <v>35000</v>
      </c>
      <c r="E183" s="24">
        <v>9500</v>
      </c>
      <c r="F183" s="24">
        <v>44500</v>
      </c>
      <c r="G183" s="25">
        <v>10000</v>
      </c>
      <c r="H183" s="25">
        <v>10000</v>
      </c>
      <c r="I183" s="25">
        <v>25000</v>
      </c>
      <c r="J183" s="25">
        <v>25000</v>
      </c>
      <c r="K183" s="25">
        <v>14000</v>
      </c>
      <c r="L183" s="25">
        <v>14000</v>
      </c>
      <c r="M183" s="26">
        <f>IF(G183&gt;0,J183/G183,0)</f>
      </c>
    </row>
    <row r="184" ht="14.4" customHeight="1">
      <c r="A184" s="21" t="str">
        <v/>
      </c>
      <c r="B184" s="22" t="str">
        <v>2.3.2.7.11.99     SERVICIOS DIVERSOS</v>
      </c>
      <c r="C184" s="23" t="str">
        <v/>
      </c>
      <c r="D184" s="24">
        <v>419388</v>
      </c>
      <c r="E184" s="24">
        <v>-9500</v>
      </c>
      <c r="F184" s="24">
        <v>409888</v>
      </c>
      <c r="G184" s="25">
        <v>29606</v>
      </c>
      <c r="H184" s="25">
        <v>21606</v>
      </c>
      <c r="I184" s="25">
        <v>78306</v>
      </c>
      <c r="J184" s="25">
        <v>69306</v>
      </c>
      <c r="K184" s="25">
        <v>53806</v>
      </c>
      <c r="L184" s="25">
        <v>53806</v>
      </c>
      <c r="M184" s="26">
        <f>IF(G184&gt;0,J184/G184,0)</f>
      </c>
    </row>
    <row r="185" ht="14.4" customHeight="1">
      <c r="A185" s="15" t="str">
        <v>0019</v>
      </c>
      <c r="B185" s="16" t="str">
        <v>OPERACION Y MANTENIMIENTO DE LOS SISTEMAS DE DISPOSICION SANITARIA DE EXCRETAS</v>
      </c>
      <c r="C185" s="17" t="str">
        <v/>
      </c>
      <c r="D185" s="18">
        <v>128000</v>
      </c>
      <c r="E185" s="18">
        <v>-14000</v>
      </c>
      <c r="F185" s="18">
        <v>114000</v>
      </c>
      <c r="G185" s="19">
        <v>5000</v>
      </c>
      <c r="H185" s="19">
        <v>5000</v>
      </c>
      <c r="I185" s="19">
        <v>5000</v>
      </c>
      <c r="J185" s="19">
        <v>5000</v>
      </c>
      <c r="K185" s="19">
        <v>5000</v>
      </c>
      <c r="L185" s="19">
        <v>5000</v>
      </c>
      <c r="M185" s="20">
        <f>IF(G185&gt;0,J185/G185,0)</f>
      </c>
    </row>
    <row r="186" ht="14.4" customHeight="1">
      <c r="A186" s="15" t="str">
        <v/>
      </c>
      <c r="B186" s="16" t="str">
        <v>07 FONDO DE COMPENSACION MUNICIPAL</v>
      </c>
      <c r="C186" s="17" t="str">
        <v/>
      </c>
      <c r="D186" s="18">
        <v>31000</v>
      </c>
      <c r="E186" s="18">
        <v>0</v>
      </c>
      <c r="F186" s="18">
        <v>31000</v>
      </c>
      <c r="G186" s="19">
        <v>2500</v>
      </c>
      <c r="H186" s="19">
        <v>2500</v>
      </c>
      <c r="I186" s="19">
        <v>2500</v>
      </c>
      <c r="J186" s="19">
        <v>2500</v>
      </c>
      <c r="K186" s="19">
        <v>2500</v>
      </c>
      <c r="L186" s="19">
        <v>2500</v>
      </c>
      <c r="M186" s="20">
        <f>IF(G186&gt;0,J186/G186,0)</f>
      </c>
    </row>
    <row r="187" ht="14.4" customHeight="1">
      <c r="A187" s="21" t="str">
        <v/>
      </c>
      <c r="B187" s="22" t="str">
        <v>2.3.1.6.1.1     DE VEHICULOS</v>
      </c>
      <c r="C187" s="23" t="str">
        <v/>
      </c>
      <c r="D187" s="24">
        <v>11000</v>
      </c>
      <c r="E187" s="24">
        <v>0</v>
      </c>
      <c r="F187" s="24">
        <v>11000</v>
      </c>
      <c r="G187" s="25">
        <v>0</v>
      </c>
      <c r="H187" s="25">
        <v>0</v>
      </c>
      <c r="I187" s="25">
        <v>0</v>
      </c>
      <c r="J187" s="25">
        <v>0</v>
      </c>
      <c r="K187" s="25">
        <v>0</v>
      </c>
      <c r="L187" s="25">
        <v>0</v>
      </c>
      <c r="M187" s="26">
        <f>IF(G187&gt;0,J187/G187,0)</f>
      </c>
    </row>
    <row r="188" ht="14.4" customHeight="1">
      <c r="A188" s="21" t="str">
        <v/>
      </c>
      <c r="B188" s="22" t="str">
        <v>2.3.1.99.1.99     OTROS BIENES</v>
      </c>
      <c r="C188" s="23" t="str">
        <v/>
      </c>
      <c r="D188" s="24">
        <v>10000</v>
      </c>
      <c r="E188" s="24">
        <v>0</v>
      </c>
      <c r="F188" s="24">
        <v>10000</v>
      </c>
      <c r="G188" s="25">
        <v>0</v>
      </c>
      <c r="H188" s="25">
        <v>0</v>
      </c>
      <c r="I188" s="25">
        <v>0</v>
      </c>
      <c r="J188" s="25">
        <v>0</v>
      </c>
      <c r="K188" s="25">
        <v>0</v>
      </c>
      <c r="L188" s="25">
        <v>0</v>
      </c>
      <c r="M188" s="26">
        <f>IF(G188&gt;0,J188/G188,0)</f>
      </c>
    </row>
    <row r="189" ht="14.4" customHeight="1">
      <c r="A189" s="21" t="str">
        <v/>
      </c>
      <c r="B189" s="22" t="str">
        <v>2.3.2.7.11.99     SERVICIOS DIVERSOS</v>
      </c>
      <c r="C189" s="23" t="str">
        <v/>
      </c>
      <c r="D189" s="24">
        <v>10000</v>
      </c>
      <c r="E189" s="24">
        <v>0</v>
      </c>
      <c r="F189" s="24">
        <v>10000</v>
      </c>
      <c r="G189" s="25">
        <v>2500</v>
      </c>
      <c r="H189" s="25">
        <v>2500</v>
      </c>
      <c r="I189" s="25">
        <v>2500</v>
      </c>
      <c r="J189" s="25">
        <v>2500</v>
      </c>
      <c r="K189" s="25">
        <v>2500</v>
      </c>
      <c r="L189" s="25">
        <v>2500</v>
      </c>
      <c r="M189" s="26">
        <f>IF(G189&gt;0,J189/G189,0)</f>
      </c>
    </row>
    <row r="190" ht="14.4" customHeight="1">
      <c r="A190" s="15" t="str">
        <v/>
      </c>
      <c r="B190" s="16" t="str">
        <v>18 CANON Y SOBRECANON, REGALIAS, RENTA DE ADUANAS Y PARTICIPACIONES</v>
      </c>
      <c r="C190" s="17" t="str">
        <v/>
      </c>
      <c r="D190" s="18">
        <v>97000</v>
      </c>
      <c r="E190" s="18">
        <v>-14000</v>
      </c>
      <c r="F190" s="18">
        <v>83000</v>
      </c>
      <c r="G190" s="19">
        <v>2500</v>
      </c>
      <c r="H190" s="19">
        <v>2500</v>
      </c>
      <c r="I190" s="19">
        <v>2500</v>
      </c>
      <c r="J190" s="19">
        <v>2500</v>
      </c>
      <c r="K190" s="19">
        <v>2500</v>
      </c>
      <c r="L190" s="19">
        <v>2500</v>
      </c>
      <c r="M190" s="20">
        <f>IF(G190&gt;0,J190/G190,0)</f>
      </c>
    </row>
    <row r="191" ht="14.4" customHeight="1">
      <c r="A191" s="21" t="str">
        <v/>
      </c>
      <c r="B191" s="22" t="str">
        <v>2.3.1.11.1.1     PARA EDIFICIOS Y ESTRUCTURAS</v>
      </c>
      <c r="C191" s="23" t="str">
        <v/>
      </c>
      <c r="D191" s="24">
        <v>10000</v>
      </c>
      <c r="E191" s="24">
        <v>0</v>
      </c>
      <c r="F191" s="24">
        <v>10000</v>
      </c>
      <c r="G191" s="25">
        <v>0</v>
      </c>
      <c r="H191" s="25">
        <v>0</v>
      </c>
      <c r="I191" s="25">
        <v>0</v>
      </c>
      <c r="J191" s="25">
        <v>0</v>
      </c>
      <c r="K191" s="25">
        <v>0</v>
      </c>
      <c r="L191" s="25">
        <v>0</v>
      </c>
      <c r="M191" s="26">
        <f>IF(G191&gt;0,J191/G191,0)</f>
      </c>
    </row>
    <row r="192" ht="14.4" customHeight="1">
      <c r="A192" s="21" t="str">
        <v/>
      </c>
      <c r="B192" s="22" t="str">
        <v>2.3.1.11.1.5     OTROS MATERIALES DE MANTENIMIENTO</v>
      </c>
      <c r="C192" s="23" t="str">
        <v/>
      </c>
      <c r="D192" s="24">
        <v>12000</v>
      </c>
      <c r="E192" s="24">
        <v>0</v>
      </c>
      <c r="F192" s="24">
        <v>12000</v>
      </c>
      <c r="G192" s="25">
        <v>0</v>
      </c>
      <c r="H192" s="25">
        <v>0</v>
      </c>
      <c r="I192" s="25">
        <v>0</v>
      </c>
      <c r="J192" s="25">
        <v>0</v>
      </c>
      <c r="K192" s="25">
        <v>0</v>
      </c>
      <c r="L192" s="25">
        <v>0</v>
      </c>
      <c r="M192" s="26">
        <f>IF(G192&gt;0,J192/G192,0)</f>
      </c>
    </row>
    <row r="193" ht="14.4" customHeight="1">
      <c r="A193" s="21" t="str">
        <v/>
      </c>
      <c r="B193" s="22" t="str">
        <v>2.3.1.6.1.4     DE SEGURIDAD</v>
      </c>
      <c r="C193" s="23" t="str">
        <v/>
      </c>
      <c r="D193" s="24">
        <v>15000</v>
      </c>
      <c r="E193" s="24">
        <v>0</v>
      </c>
      <c r="F193" s="24">
        <v>15000</v>
      </c>
      <c r="G193" s="25">
        <v>0</v>
      </c>
      <c r="H193" s="25">
        <v>0</v>
      </c>
      <c r="I193" s="25">
        <v>0</v>
      </c>
      <c r="J193" s="25">
        <v>0</v>
      </c>
      <c r="K193" s="25">
        <v>0</v>
      </c>
      <c r="L193" s="25">
        <v>0</v>
      </c>
      <c r="M193" s="26">
        <f>IF(G193&gt;0,J193/G193,0)</f>
      </c>
    </row>
    <row r="194" ht="14.4" customHeight="1">
      <c r="A194" s="21" t="str">
        <v/>
      </c>
      <c r="B194" s="22" t="str">
        <v>2.3.1.99.1.1     HERRAMIENTAS</v>
      </c>
      <c r="C194" s="23" t="str">
        <v/>
      </c>
      <c r="D194" s="24">
        <v>15000</v>
      </c>
      <c r="E194" s="24">
        <v>-14000</v>
      </c>
      <c r="F194" s="24">
        <v>1000</v>
      </c>
      <c r="G194" s="25">
        <v>0</v>
      </c>
      <c r="H194" s="25">
        <v>0</v>
      </c>
      <c r="I194" s="25">
        <v>0</v>
      </c>
      <c r="J194" s="25">
        <v>0</v>
      </c>
      <c r="K194" s="25">
        <v>0</v>
      </c>
      <c r="L194" s="25">
        <v>0</v>
      </c>
      <c r="M194" s="26">
        <f>IF(G194&gt;0,J194/G194,0)</f>
      </c>
    </row>
    <row r="195" ht="14.4" customHeight="1">
      <c r="A195" s="21" t="str">
        <v/>
      </c>
      <c r="B195" s="22" t="str">
        <v>2.3.2.5.1.2     DE VEHICULOS</v>
      </c>
      <c r="C195" s="23" t="str">
        <v/>
      </c>
      <c r="D195" s="24">
        <v>5000</v>
      </c>
      <c r="E195" s="24">
        <v>0</v>
      </c>
      <c r="F195" s="24">
        <v>5000</v>
      </c>
      <c r="G195" s="25">
        <v>0</v>
      </c>
      <c r="H195" s="25">
        <v>0</v>
      </c>
      <c r="I195" s="25">
        <v>0</v>
      </c>
      <c r="J195" s="25">
        <v>0</v>
      </c>
      <c r="K195" s="25">
        <v>0</v>
      </c>
      <c r="L195" s="25">
        <v>0</v>
      </c>
      <c r="M195" s="26">
        <f>IF(G195&gt;0,J195/G195,0)</f>
      </c>
    </row>
    <row r="196" ht="14.4" customHeight="1">
      <c r="A196" s="21" t="str">
        <v/>
      </c>
      <c r="B196" s="22" t="str">
        <v>2.3.2.7.11.99     SERVICIOS DIVERSOS</v>
      </c>
      <c r="C196" s="23" t="str">
        <v/>
      </c>
      <c r="D196" s="24">
        <v>40000</v>
      </c>
      <c r="E196" s="24">
        <v>0</v>
      </c>
      <c r="F196" s="24">
        <v>40000</v>
      </c>
      <c r="G196" s="25">
        <v>2500</v>
      </c>
      <c r="H196" s="25">
        <v>2500</v>
      </c>
      <c r="I196" s="25">
        <v>2500</v>
      </c>
      <c r="J196" s="25">
        <v>2500</v>
      </c>
      <c r="K196" s="25">
        <v>2500</v>
      </c>
      <c r="L196" s="25">
        <v>2500</v>
      </c>
      <c r="M196" s="26">
        <f>IF(G196&gt;0,J196/G196,0)</f>
      </c>
    </row>
    <row r="197" ht="14.4" customHeight="1">
      <c r="A197" s="15" t="str">
        <v>0020</v>
      </c>
      <c r="B197" s="16" t="str">
        <v>MONITOREO DE LA PRESTACION DE LOS SERVICIOS DE AGUA POTABLE Y DISPOSICION SANITARIA DE EXCRETAS PARA HOGARES CONCENTRADOS</v>
      </c>
      <c r="C197" s="17" t="str">
        <v/>
      </c>
      <c r="D197" s="18">
        <v>50000</v>
      </c>
      <c r="E197" s="18">
        <v>-5000</v>
      </c>
      <c r="F197" s="18">
        <v>45000</v>
      </c>
      <c r="G197" s="19">
        <v>0</v>
      </c>
      <c r="H197" s="19">
        <v>0</v>
      </c>
      <c r="I197" s="19">
        <v>0</v>
      </c>
      <c r="J197" s="19">
        <v>0</v>
      </c>
      <c r="K197" s="19">
        <v>0</v>
      </c>
      <c r="L197" s="19">
        <v>0</v>
      </c>
      <c r="M197" s="20">
        <f>IF(G197&gt;0,J197/G197,0)</f>
      </c>
    </row>
    <row r="198" ht="14.4" customHeight="1">
      <c r="A198" s="15" t="str">
        <v/>
      </c>
      <c r="B198" s="16" t="str">
        <v>07 FONDO DE COMPENSACION MUNICIPAL</v>
      </c>
      <c r="C198" s="17" t="str">
        <v/>
      </c>
      <c r="D198" s="18">
        <v>50000</v>
      </c>
      <c r="E198" s="18">
        <v>-5000</v>
      </c>
      <c r="F198" s="18">
        <v>45000</v>
      </c>
      <c r="G198" s="19">
        <v>0</v>
      </c>
      <c r="H198" s="19">
        <v>0</v>
      </c>
      <c r="I198" s="19">
        <v>0</v>
      </c>
      <c r="J198" s="19">
        <v>0</v>
      </c>
      <c r="K198" s="19">
        <v>0</v>
      </c>
      <c r="L198" s="19">
        <v>0</v>
      </c>
      <c r="M198" s="20">
        <f>IF(G198&gt;0,J198/G198,0)</f>
      </c>
    </row>
    <row r="199" ht="14.4" customHeight="1">
      <c r="A199" s="21" t="str">
        <v/>
      </c>
      <c r="B199" s="22" t="str">
        <v>2.3.1.99.1.1     HERRAMIENTAS</v>
      </c>
      <c r="C199" s="23" t="str">
        <v/>
      </c>
      <c r="D199" s="24">
        <v>15000</v>
      </c>
      <c r="E199" s="24">
        <v>-5000</v>
      </c>
      <c r="F199" s="24">
        <v>10000</v>
      </c>
      <c r="G199" s="25">
        <v>0</v>
      </c>
      <c r="H199" s="25">
        <v>0</v>
      </c>
      <c r="I199" s="25">
        <v>0</v>
      </c>
      <c r="J199" s="25">
        <v>0</v>
      </c>
      <c r="K199" s="25">
        <v>0</v>
      </c>
      <c r="L199" s="25">
        <v>0</v>
      </c>
      <c r="M199" s="26">
        <f>IF(G199&gt;0,J199/G199,0)</f>
      </c>
    </row>
    <row r="200" ht="14.4" customHeight="1">
      <c r="A200" s="21" t="str">
        <v/>
      </c>
      <c r="B200" s="22" t="str">
        <v>2.3.1.99.1.99     OTROS BIENES</v>
      </c>
      <c r="C200" s="23" t="str">
        <v/>
      </c>
      <c r="D200" s="24">
        <v>15000</v>
      </c>
      <c r="E200" s="24">
        <v>0</v>
      </c>
      <c r="F200" s="24">
        <v>15000</v>
      </c>
      <c r="G200" s="25">
        <v>0</v>
      </c>
      <c r="H200" s="25">
        <v>0</v>
      </c>
      <c r="I200" s="25">
        <v>0</v>
      </c>
      <c r="J200" s="25">
        <v>0</v>
      </c>
      <c r="K200" s="25">
        <v>0</v>
      </c>
      <c r="L200" s="25">
        <v>0</v>
      </c>
      <c r="M200" s="26">
        <f>IF(G200&gt;0,J200/G200,0)</f>
      </c>
    </row>
    <row r="201" ht="14.4" customHeight="1">
      <c r="A201" s="21" t="str">
        <v/>
      </c>
      <c r="B201" s="22" t="str">
        <v>2.3.2.7.11.99     SERVICIOS DIVERSOS</v>
      </c>
      <c r="C201" s="23" t="str">
        <v/>
      </c>
      <c r="D201" s="24">
        <v>20000</v>
      </c>
      <c r="E201" s="24">
        <v>0</v>
      </c>
      <c r="F201" s="24">
        <v>20000</v>
      </c>
      <c r="G201" s="25">
        <v>0</v>
      </c>
      <c r="H201" s="25">
        <v>0</v>
      </c>
      <c r="I201" s="25">
        <v>0</v>
      </c>
      <c r="J201" s="25">
        <v>0</v>
      </c>
      <c r="K201" s="25">
        <v>0</v>
      </c>
      <c r="L201" s="25">
        <v>0</v>
      </c>
      <c r="M201" s="26">
        <f>IF(G201&gt;0,J201/G201,0)</f>
      </c>
    </row>
    <row r="202" ht="14.4" customHeight="1">
      <c r="A202" s="15" t="str">
        <v>0021</v>
      </c>
      <c r="B202" s="16" t="str">
        <v>FORTALECIMIENTO DE CAPACIDADES EN EL SECTOR ARTESANAL</v>
      </c>
      <c r="C202" s="17" t="str">
        <v/>
      </c>
      <c r="D202" s="18">
        <v>30000</v>
      </c>
      <c r="E202" s="18">
        <v>0</v>
      </c>
      <c r="F202" s="18">
        <v>30000</v>
      </c>
      <c r="G202" s="19">
        <v>0</v>
      </c>
      <c r="H202" s="19">
        <v>0</v>
      </c>
      <c r="I202" s="19">
        <v>0</v>
      </c>
      <c r="J202" s="19">
        <v>0</v>
      </c>
      <c r="K202" s="19">
        <v>0</v>
      </c>
      <c r="L202" s="19">
        <v>0</v>
      </c>
      <c r="M202" s="20">
        <f>IF(G202&gt;0,J202/G202,0)</f>
      </c>
    </row>
    <row r="203" ht="14.4" customHeight="1">
      <c r="A203" s="15" t="str">
        <v/>
      </c>
      <c r="B203" s="16" t="str">
        <v>07 FONDO DE COMPENSACION MUNICIPAL</v>
      </c>
      <c r="C203" s="17" t="str">
        <v/>
      </c>
      <c r="D203" s="18">
        <v>30000</v>
      </c>
      <c r="E203" s="18">
        <v>0</v>
      </c>
      <c r="F203" s="18">
        <v>30000</v>
      </c>
      <c r="G203" s="19">
        <v>0</v>
      </c>
      <c r="H203" s="19">
        <v>0</v>
      </c>
      <c r="I203" s="19">
        <v>0</v>
      </c>
      <c r="J203" s="19">
        <v>0</v>
      </c>
      <c r="K203" s="19">
        <v>0</v>
      </c>
      <c r="L203" s="19">
        <v>0</v>
      </c>
      <c r="M203" s="20">
        <f>IF(G203&gt;0,J203/G203,0)</f>
      </c>
    </row>
    <row r="204" ht="14.4" customHeight="1">
      <c r="A204" s="21" t="str">
        <v/>
      </c>
      <c r="B204" s="22" t="str">
        <v>2.3.1.99.1.99     OTROS BIENES</v>
      </c>
      <c r="C204" s="23" t="str">
        <v/>
      </c>
      <c r="D204" s="24">
        <v>15000</v>
      </c>
      <c r="E204" s="24">
        <v>0</v>
      </c>
      <c r="F204" s="24">
        <v>15000</v>
      </c>
      <c r="G204" s="25">
        <v>0</v>
      </c>
      <c r="H204" s="25">
        <v>0</v>
      </c>
      <c r="I204" s="25">
        <v>0</v>
      </c>
      <c r="J204" s="25">
        <v>0</v>
      </c>
      <c r="K204" s="25">
        <v>0</v>
      </c>
      <c r="L204" s="25">
        <v>0</v>
      </c>
      <c r="M204" s="26">
        <f>IF(G204&gt;0,J204/G204,0)</f>
      </c>
    </row>
    <row r="205" ht="14.4" customHeight="1">
      <c r="A205" s="21" t="str">
        <v/>
      </c>
      <c r="B205" s="22" t="str">
        <v>2.3.2.7.11.99     SERVICIOS DIVERSOS</v>
      </c>
      <c r="C205" s="23" t="str">
        <v/>
      </c>
      <c r="D205" s="24">
        <v>15000</v>
      </c>
      <c r="E205" s="24">
        <v>0</v>
      </c>
      <c r="F205" s="24">
        <v>15000</v>
      </c>
      <c r="G205" s="25">
        <v>0</v>
      </c>
      <c r="H205" s="25">
        <v>0</v>
      </c>
      <c r="I205" s="25">
        <v>0</v>
      </c>
      <c r="J205" s="25">
        <v>0</v>
      </c>
      <c r="K205" s="25">
        <v>0</v>
      </c>
      <c r="L205" s="25">
        <v>0</v>
      </c>
      <c r="M205" s="26">
        <f>IF(G205&gt;0,J205/G205,0)</f>
      </c>
    </row>
    <row r="206" ht="14.4" customHeight="1">
      <c r="A206" s="15" t="str">
        <v>0022</v>
      </c>
      <c r="B206" s="16" t="str">
        <v>ATENCION A NIÑAS, NIÑOS Y ADOLESCENTES EN RIESGO A TRAVES DE MEDIDAS DE PROTECCION Y SERVICIOS PARA FORTALECER VINCULOS FAMILIARES</v>
      </c>
      <c r="C206" s="17" t="str">
        <v/>
      </c>
      <c r="D206" s="18">
        <v>7770</v>
      </c>
      <c r="E206" s="18">
        <v>0</v>
      </c>
      <c r="F206" s="18">
        <v>7770</v>
      </c>
      <c r="G206" s="19">
        <v>0</v>
      </c>
      <c r="H206" s="19">
        <v>0</v>
      </c>
      <c r="I206" s="19">
        <v>0</v>
      </c>
      <c r="J206" s="19">
        <v>0</v>
      </c>
      <c r="K206" s="19">
        <v>0</v>
      </c>
      <c r="L206" s="19">
        <v>0</v>
      </c>
      <c r="M206" s="20">
        <f>IF(G206&gt;0,J206/G206,0)</f>
      </c>
    </row>
    <row r="207" ht="14.4" customHeight="1">
      <c r="A207" s="15" t="str">
        <v/>
      </c>
      <c r="B207" s="16" t="str">
        <v>07 FONDO DE COMPENSACION MUNICIPAL</v>
      </c>
      <c r="C207" s="17" t="str">
        <v/>
      </c>
      <c r="D207" s="18">
        <v>7770</v>
      </c>
      <c r="E207" s="18">
        <v>0</v>
      </c>
      <c r="F207" s="18">
        <v>7770</v>
      </c>
      <c r="G207" s="19">
        <v>0</v>
      </c>
      <c r="H207" s="19">
        <v>0</v>
      </c>
      <c r="I207" s="19">
        <v>0</v>
      </c>
      <c r="J207" s="19">
        <v>0</v>
      </c>
      <c r="K207" s="19">
        <v>0</v>
      </c>
      <c r="L207" s="19">
        <v>0</v>
      </c>
      <c r="M207" s="20">
        <f>IF(G207&gt;0,J207/G207,0)</f>
      </c>
    </row>
    <row r="208" ht="14.4" customHeight="1">
      <c r="A208" s="21" t="str">
        <v/>
      </c>
      <c r="B208" s="22" t="str">
        <v>2.3.2.7.11.99     SERVICIOS DIVERSOS</v>
      </c>
      <c r="C208" s="23" t="str">
        <v/>
      </c>
      <c r="D208" s="24">
        <v>7770</v>
      </c>
      <c r="E208" s="24">
        <v>0</v>
      </c>
      <c r="F208" s="24">
        <v>7770</v>
      </c>
      <c r="G208" s="25">
        <v>0</v>
      </c>
      <c r="H208" s="25">
        <v>0</v>
      </c>
      <c r="I208" s="25">
        <v>0</v>
      </c>
      <c r="J208" s="25">
        <v>0</v>
      </c>
      <c r="K208" s="25">
        <v>0</v>
      </c>
      <c r="L208" s="25">
        <v>0</v>
      </c>
      <c r="M208" s="26">
        <f>IF(G208&gt;0,J208/G208,0)</f>
      </c>
    </row>
    <row r="209" ht="14.4" customHeight="1">
      <c r="A209" s="15" t="str">
        <v>0023</v>
      </c>
      <c r="B209" s="16" t="str">
        <v>CREACION DE UNA PLANTA PROCESADORA DE CAÑA DE AZUCAR PARA LA ELABORACION DE PANELA GRANULADA ORGANICA EN LA LOCALIDAD ROSARIO BAJO DEL DISTRITO DE EL CARMEN DE LA FRONTERA, HUANCABAMBA, PIURA</v>
      </c>
      <c r="C209" s="17" t="str">
        <v/>
      </c>
      <c r="D209" s="18">
        <v>577391</v>
      </c>
      <c r="E209" s="18">
        <v>-577391</v>
      </c>
      <c r="F209" s="18">
        <v>0</v>
      </c>
      <c r="G209" s="19">
        <v>0</v>
      </c>
      <c r="H209" s="19">
        <v>0</v>
      </c>
      <c r="I209" s="19">
        <v>0</v>
      </c>
      <c r="J209" s="19">
        <v>0</v>
      </c>
      <c r="K209" s="19">
        <v>0</v>
      </c>
      <c r="L209" s="19">
        <v>0</v>
      </c>
      <c r="M209" s="20">
        <f>IF(G209&gt;0,J209/G209,0)</f>
      </c>
    </row>
    <row r="210" ht="14.4" customHeight="1">
      <c r="A210" s="15" t="str">
        <v/>
      </c>
      <c r="B210" s="16" t="str">
        <v>18 CANON Y SOBRECANON, REGALIAS, RENTA DE ADUANAS Y PARTICIPACIONES</v>
      </c>
      <c r="C210" s="17" t="str">
        <v/>
      </c>
      <c r="D210" s="18">
        <v>577391</v>
      </c>
      <c r="E210" s="18">
        <v>-577391</v>
      </c>
      <c r="F210" s="18">
        <v>0</v>
      </c>
      <c r="G210" s="19">
        <v>0</v>
      </c>
      <c r="H210" s="19">
        <v>0</v>
      </c>
      <c r="I210" s="19">
        <v>0</v>
      </c>
      <c r="J210" s="19">
        <v>0</v>
      </c>
      <c r="K210" s="19">
        <v>0</v>
      </c>
      <c r="L210" s="19">
        <v>0</v>
      </c>
      <c r="M210" s="20">
        <f>IF(G210&gt;0,J210/G210,0)</f>
      </c>
    </row>
    <row r="211" ht="14.4" customHeight="1">
      <c r="A211" s="21" t="str">
        <v/>
      </c>
      <c r="B211" s="22" t="str">
        <v>2.6.2.3.99.2     COSTO DE CONSTRUCCION POR CONTRATA</v>
      </c>
      <c r="C211" s="23" t="str">
        <v/>
      </c>
      <c r="D211" s="24">
        <v>577391</v>
      </c>
      <c r="E211" s="24">
        <v>-577391</v>
      </c>
      <c r="F211" s="24">
        <v>0</v>
      </c>
      <c r="G211" s="25">
        <v>0</v>
      </c>
      <c r="H211" s="25">
        <v>0</v>
      </c>
      <c r="I211" s="25">
        <v>0</v>
      </c>
      <c r="J211" s="25">
        <v>0</v>
      </c>
      <c r="K211" s="25">
        <v>0</v>
      </c>
      <c r="L211" s="25">
        <v>0</v>
      </c>
      <c r="M211" s="26">
        <f>IF(G211&gt;0,J211/G211,0)</f>
      </c>
    </row>
    <row r="212" ht="14.4" customHeight="1">
      <c r="A212" s="15" t="str">
        <v>0024</v>
      </c>
      <c r="B212" s="16" t="str">
        <v>CREACION DE UNA PLANTA PROCESADORA DE CAÑA DE AZUCAR PARA LA ELABORACION DE PANELA GRANULADA EN LA LOCALIDAD DE EL CARMEN DEL DISTRITO DE EL CARMEN DE LA FRONTERA, HUANCABAMBA, PIURA</v>
      </c>
      <c r="C212" s="17" t="str">
        <v/>
      </c>
      <c r="D212" s="18">
        <v>979302</v>
      </c>
      <c r="E212" s="18">
        <v>-979302</v>
      </c>
      <c r="F212" s="18">
        <v>0</v>
      </c>
      <c r="G212" s="19">
        <v>0</v>
      </c>
      <c r="H212" s="19">
        <v>0</v>
      </c>
      <c r="I212" s="19">
        <v>0</v>
      </c>
      <c r="J212" s="19">
        <v>0</v>
      </c>
      <c r="K212" s="19">
        <v>0</v>
      </c>
      <c r="L212" s="19">
        <v>0</v>
      </c>
      <c r="M212" s="20">
        <f>IF(G212&gt;0,J212/G212,0)</f>
      </c>
    </row>
    <row r="213" ht="14.4" customHeight="1">
      <c r="A213" s="15" t="str">
        <v/>
      </c>
      <c r="B213" s="16" t="str">
        <v>18 CANON Y SOBRECANON, REGALIAS, RENTA DE ADUANAS Y PARTICIPACIONES</v>
      </c>
      <c r="C213" s="17" t="str">
        <v/>
      </c>
      <c r="D213" s="18">
        <v>979302</v>
      </c>
      <c r="E213" s="18">
        <v>-979302</v>
      </c>
      <c r="F213" s="18">
        <v>0</v>
      </c>
      <c r="G213" s="19">
        <v>0</v>
      </c>
      <c r="H213" s="19">
        <v>0</v>
      </c>
      <c r="I213" s="19">
        <v>0</v>
      </c>
      <c r="J213" s="19">
        <v>0</v>
      </c>
      <c r="K213" s="19">
        <v>0</v>
      </c>
      <c r="L213" s="19">
        <v>0</v>
      </c>
      <c r="M213" s="20">
        <f>IF(G213&gt;0,J213/G213,0)</f>
      </c>
    </row>
    <row r="214" ht="14.4" customHeight="1">
      <c r="A214" s="21" t="str">
        <v/>
      </c>
      <c r="B214" s="22" t="str">
        <v>2.6.8.1.3.1     ELABORACION DE EXPEDIENTES TECNICOS</v>
      </c>
      <c r="C214" s="23" t="str">
        <v/>
      </c>
      <c r="D214" s="24">
        <v>979302</v>
      </c>
      <c r="E214" s="24">
        <v>-979302</v>
      </c>
      <c r="F214" s="24">
        <v>0</v>
      </c>
      <c r="G214" s="25">
        <v>0</v>
      </c>
      <c r="H214" s="25">
        <v>0</v>
      </c>
      <c r="I214" s="25">
        <v>0</v>
      </c>
      <c r="J214" s="25">
        <v>0</v>
      </c>
      <c r="K214" s="25">
        <v>0</v>
      </c>
      <c r="L214" s="25">
        <v>0</v>
      </c>
      <c r="M214" s="26">
        <f>IF(G214&gt;0,J214/G214,0)</f>
      </c>
    </row>
    <row r="215" ht="14.4" customHeight="1">
      <c r="A215" s="15" t="str">
        <v>0025</v>
      </c>
      <c r="B215" s="16" t="str">
        <v>ASISTENCIA TECNICA Y CAPACITACION A PRODUCTORES PARA LA ADOPCION DE PAQUETES TECNOLOGICOS</v>
      </c>
      <c r="C215" s="17" t="str">
        <v/>
      </c>
      <c r="D215" s="18">
        <v>50000</v>
      </c>
      <c r="E215" s="18">
        <v>0</v>
      </c>
      <c r="F215" s="18">
        <v>50000</v>
      </c>
      <c r="G215" s="19">
        <v>0</v>
      </c>
      <c r="H215" s="19">
        <v>0</v>
      </c>
      <c r="I215" s="19">
        <v>0</v>
      </c>
      <c r="J215" s="19">
        <v>0</v>
      </c>
      <c r="K215" s="19">
        <v>0</v>
      </c>
      <c r="L215" s="19">
        <v>0</v>
      </c>
      <c r="M215" s="20">
        <f>IF(G215&gt;0,J215/G215,0)</f>
      </c>
    </row>
    <row r="216" ht="14.4" customHeight="1">
      <c r="A216" s="15" t="str">
        <v/>
      </c>
      <c r="B216" s="16" t="str">
        <v>07 FONDO DE COMPENSACION MUNICIPAL</v>
      </c>
      <c r="C216" s="17" t="str">
        <v/>
      </c>
      <c r="D216" s="18">
        <v>50000</v>
      </c>
      <c r="E216" s="18">
        <v>0</v>
      </c>
      <c r="F216" s="18">
        <v>50000</v>
      </c>
      <c r="G216" s="19">
        <v>0</v>
      </c>
      <c r="H216" s="19">
        <v>0</v>
      </c>
      <c r="I216" s="19">
        <v>0</v>
      </c>
      <c r="J216" s="19">
        <v>0</v>
      </c>
      <c r="K216" s="19">
        <v>0</v>
      </c>
      <c r="L216" s="19">
        <v>0</v>
      </c>
      <c r="M216" s="20">
        <f>IF(G216&gt;0,J216/G216,0)</f>
      </c>
    </row>
    <row r="217" ht="14.4" customHeight="1">
      <c r="A217" s="21" t="str">
        <v/>
      </c>
      <c r="B217" s="22" t="str">
        <v>2.3.1.5.2.1     AGROPECUARIO, GANADERO Y DE JARDINERIA</v>
      </c>
      <c r="C217" s="23" t="str">
        <v/>
      </c>
      <c r="D217" s="24">
        <v>50000</v>
      </c>
      <c r="E217" s="24">
        <v>0</v>
      </c>
      <c r="F217" s="24">
        <v>50000</v>
      </c>
      <c r="G217" s="25">
        <v>0</v>
      </c>
      <c r="H217" s="25">
        <v>0</v>
      </c>
      <c r="I217" s="25">
        <v>0</v>
      </c>
      <c r="J217" s="25">
        <v>0</v>
      </c>
      <c r="K217" s="25">
        <v>0</v>
      </c>
      <c r="L217" s="25">
        <v>0</v>
      </c>
      <c r="M217" s="26">
        <f>IF(G217&gt;0,J217/G217,0)</f>
      </c>
    </row>
    <row r="218" ht="14.4" customHeight="1">
      <c r="A218" s="15" t="str">
        <v>0026</v>
      </c>
      <c r="B218" s="16" t="str">
        <v>CONSERVACION Y PUESTA EN VALOR DE LOS RECURSOS TURISTICOS</v>
      </c>
      <c r="C218" s="17" t="str">
        <v/>
      </c>
      <c r="D218" s="18">
        <v>119850</v>
      </c>
      <c r="E218" s="18">
        <v>0</v>
      </c>
      <c r="F218" s="18">
        <v>119850</v>
      </c>
      <c r="G218" s="19">
        <v>26238.61</v>
      </c>
      <c r="H218" s="19">
        <v>24238.61</v>
      </c>
      <c r="I218" s="19">
        <v>62475</v>
      </c>
      <c r="J218" s="19">
        <v>34813.61</v>
      </c>
      <c r="K218" s="19">
        <v>32111.61</v>
      </c>
      <c r="L218" s="19">
        <v>32111.61</v>
      </c>
      <c r="M218" s="20">
        <f>IF(G218&gt;0,J218/G218,0)</f>
      </c>
    </row>
    <row r="219" ht="14.4" customHeight="1">
      <c r="A219" s="15" t="str">
        <v/>
      </c>
      <c r="B219" s="16" t="str">
        <v>07 FONDO DE COMPENSACION MUNICIPAL</v>
      </c>
      <c r="C219" s="17" t="str">
        <v/>
      </c>
      <c r="D219" s="18">
        <v>119850</v>
      </c>
      <c r="E219" s="18">
        <v>0</v>
      </c>
      <c r="F219" s="18">
        <v>119850</v>
      </c>
      <c r="G219" s="19">
        <v>26238.61</v>
      </c>
      <c r="H219" s="19">
        <v>24238.61</v>
      </c>
      <c r="I219" s="19">
        <v>62475</v>
      </c>
      <c r="J219" s="19">
        <v>34813.61</v>
      </c>
      <c r="K219" s="19">
        <v>32111.61</v>
      </c>
      <c r="L219" s="19">
        <v>32111.61</v>
      </c>
      <c r="M219" s="20">
        <f>IF(G219&gt;0,J219/G219,0)</f>
      </c>
    </row>
    <row r="220" ht="14.4" customHeight="1">
      <c r="A220" s="21" t="str">
        <v/>
      </c>
      <c r="B220" s="22" t="str">
        <v>2.3.1.2.1.1     VESTUARIO, ACCESORIOS Y PRENDAS DIVERSAS</v>
      </c>
      <c r="C220" s="23" t="str">
        <v/>
      </c>
      <c r="D220" s="24">
        <v>0</v>
      </c>
      <c r="E220" s="24">
        <v>4500</v>
      </c>
      <c r="F220" s="24">
        <v>4500</v>
      </c>
      <c r="G220" s="25">
        <v>0</v>
      </c>
      <c r="H220" s="25">
        <v>0</v>
      </c>
      <c r="I220" s="25">
        <v>0</v>
      </c>
      <c r="J220" s="25">
        <v>0</v>
      </c>
      <c r="K220" s="25">
        <v>0</v>
      </c>
      <c r="L220" s="25">
        <v>0</v>
      </c>
      <c r="M220" s="26">
        <f>IF(G220&gt;0,J220/G220,0)</f>
      </c>
    </row>
    <row r="221" ht="14.4" customHeight="1">
      <c r="A221" s="21" t="str">
        <v/>
      </c>
      <c r="B221" s="22" t="str">
        <v>2.3.1.3.1.1     COMBUSTIBLES Y CARBURANTES</v>
      </c>
      <c r="C221" s="23" t="str">
        <v/>
      </c>
      <c r="D221" s="24">
        <v>2000</v>
      </c>
      <c r="E221" s="24">
        <v>0</v>
      </c>
      <c r="F221" s="24">
        <v>2000</v>
      </c>
      <c r="G221" s="25">
        <v>2000</v>
      </c>
      <c r="H221" s="25">
        <v>0</v>
      </c>
      <c r="I221" s="25">
        <v>0</v>
      </c>
      <c r="J221" s="25">
        <v>0</v>
      </c>
      <c r="K221" s="25">
        <v>0</v>
      </c>
      <c r="L221" s="25">
        <v>0</v>
      </c>
      <c r="M221" s="26">
        <f>IF(G221&gt;0,J221/G221,0)</f>
      </c>
    </row>
    <row r="222" ht="14.4" customHeight="1">
      <c r="A222" s="21" t="str">
        <v/>
      </c>
      <c r="B222" s="22" t="str">
        <v>2.3.1.5.2.1     AGROPECUARIO, GANADERO Y DE JARDINERIA</v>
      </c>
      <c r="C222" s="23" t="str">
        <v/>
      </c>
      <c r="D222" s="24">
        <v>0</v>
      </c>
      <c r="E222" s="24">
        <v>300</v>
      </c>
      <c r="F222" s="24">
        <v>300</v>
      </c>
      <c r="G222" s="25">
        <v>0</v>
      </c>
      <c r="H222" s="25">
        <v>0</v>
      </c>
      <c r="I222" s="25">
        <v>0</v>
      </c>
      <c r="J222" s="25">
        <v>0</v>
      </c>
      <c r="K222" s="25">
        <v>0</v>
      </c>
      <c r="L222" s="25">
        <v>0</v>
      </c>
      <c r="M222" s="26">
        <f>IF(G222&gt;0,J222/G222,0)</f>
      </c>
    </row>
    <row r="223" ht="14.4" customHeight="1">
      <c r="A223" s="21" t="str">
        <v/>
      </c>
      <c r="B223" s="22" t="str">
        <v>2.3.1.5.3.1     ASEO, LIMPIEZA Y TOCADOR</v>
      </c>
      <c r="C223" s="23" t="str">
        <v/>
      </c>
      <c r="D223" s="24">
        <v>0</v>
      </c>
      <c r="E223" s="24">
        <v>700</v>
      </c>
      <c r="F223" s="24">
        <v>700</v>
      </c>
      <c r="G223" s="25">
        <v>0</v>
      </c>
      <c r="H223" s="25">
        <v>0</v>
      </c>
      <c r="I223" s="25">
        <v>0</v>
      </c>
      <c r="J223" s="25">
        <v>0</v>
      </c>
      <c r="K223" s="25">
        <v>0</v>
      </c>
      <c r="L223" s="25">
        <v>0</v>
      </c>
      <c r="M223" s="26">
        <f>IF(G223&gt;0,J223/G223,0)</f>
      </c>
    </row>
    <row r="224" ht="14.4" customHeight="1">
      <c r="A224" s="21" t="str">
        <v/>
      </c>
      <c r="B224" s="22" t="str">
        <v>2.3.1.99.1.1     HERRAMIENTAS</v>
      </c>
      <c r="C224" s="23" t="str">
        <v/>
      </c>
      <c r="D224" s="24">
        <v>650</v>
      </c>
      <c r="E224" s="24">
        <v>-650</v>
      </c>
      <c r="F224" s="24">
        <v>0</v>
      </c>
      <c r="G224" s="25">
        <v>0</v>
      </c>
      <c r="H224" s="25">
        <v>0</v>
      </c>
      <c r="I224" s="25">
        <v>0</v>
      </c>
      <c r="J224" s="25">
        <v>0</v>
      </c>
      <c r="K224" s="25">
        <v>0</v>
      </c>
      <c r="L224" s="25">
        <v>0</v>
      </c>
      <c r="M224" s="26">
        <f>IF(G224&gt;0,J224/G224,0)</f>
      </c>
    </row>
    <row r="225" ht="14.4" customHeight="1">
      <c r="A225" s="21" t="str">
        <v/>
      </c>
      <c r="B225" s="22" t="str">
        <v>2.3.2.5.1.2     DE VEHICULOS</v>
      </c>
      <c r="C225" s="23" t="str">
        <v/>
      </c>
      <c r="D225" s="24">
        <v>3000</v>
      </c>
      <c r="E225" s="24">
        <v>-3000</v>
      </c>
      <c r="F225" s="24">
        <v>0</v>
      </c>
      <c r="G225" s="25">
        <v>0</v>
      </c>
      <c r="H225" s="25">
        <v>0</v>
      </c>
      <c r="I225" s="25">
        <v>0</v>
      </c>
      <c r="J225" s="25">
        <v>0</v>
      </c>
      <c r="K225" s="25">
        <v>0</v>
      </c>
      <c r="L225" s="25">
        <v>0</v>
      </c>
      <c r="M225" s="26">
        <f>IF(G225&gt;0,J225/G225,0)</f>
      </c>
    </row>
    <row r="226" ht="14.4" customHeight="1">
      <c r="A226" s="21" t="str">
        <v/>
      </c>
      <c r="B226" s="22" t="str">
        <v>2.3.2.7.11.5     SERVICIOS DE ALIMENTACION DE CONSUMO HUMANO</v>
      </c>
      <c r="C226" s="23" t="str">
        <v/>
      </c>
      <c r="D226" s="24">
        <v>4000</v>
      </c>
      <c r="E226" s="24">
        <v>0</v>
      </c>
      <c r="F226" s="24">
        <v>4000</v>
      </c>
      <c r="G226" s="25">
        <v>4000</v>
      </c>
      <c r="H226" s="25">
        <v>4000</v>
      </c>
      <c r="I226" s="25">
        <v>4000</v>
      </c>
      <c r="J226" s="25">
        <v>4000</v>
      </c>
      <c r="K226" s="25">
        <v>4000</v>
      </c>
      <c r="L226" s="25">
        <v>4000</v>
      </c>
      <c r="M226" s="26">
        <f>IF(G226&gt;0,J226/G226,0)</f>
      </c>
    </row>
    <row r="227" ht="14.4" customHeight="1">
      <c r="A227" s="21" t="str">
        <v/>
      </c>
      <c r="B227" s="22" t="str">
        <v>2.3.2.7.11.6     SERVICIO DE IMPRESIONES, ENCUADERNACION Y EMPASTADO</v>
      </c>
      <c r="C227" s="23" t="str">
        <v/>
      </c>
      <c r="D227" s="24">
        <v>31500</v>
      </c>
      <c r="E227" s="24">
        <v>-1850</v>
      </c>
      <c r="F227" s="24">
        <v>29650</v>
      </c>
      <c r="G227" s="25">
        <v>14986.61</v>
      </c>
      <c r="H227" s="25">
        <v>14986.61</v>
      </c>
      <c r="I227" s="25">
        <v>29650</v>
      </c>
      <c r="J227" s="25">
        <v>14986.61</v>
      </c>
      <c r="K227" s="25">
        <v>14986.61</v>
      </c>
      <c r="L227" s="25">
        <v>14986.61</v>
      </c>
      <c r="M227" s="26">
        <f>IF(G227&gt;0,J227/G227,0)</f>
      </c>
    </row>
    <row r="228" ht="14.4" customHeight="1">
      <c r="A228" s="21" t="str">
        <v/>
      </c>
      <c r="B228" s="22" t="str">
        <v>2.3.2.7.11.99     SERVICIOS DIVERSOS</v>
      </c>
      <c r="C228" s="23" t="str">
        <v/>
      </c>
      <c r="D228" s="24">
        <v>78700</v>
      </c>
      <c r="E228" s="24">
        <v>0</v>
      </c>
      <c r="F228" s="24">
        <v>78700</v>
      </c>
      <c r="G228" s="25">
        <v>5252</v>
      </c>
      <c r="H228" s="25">
        <v>5252</v>
      </c>
      <c r="I228" s="25">
        <v>28825</v>
      </c>
      <c r="J228" s="25">
        <v>15827</v>
      </c>
      <c r="K228" s="25">
        <v>13125</v>
      </c>
      <c r="L228" s="25">
        <v>13125</v>
      </c>
      <c r="M228" s="26">
        <f>IF(G228&gt;0,J228/G228,0)</f>
      </c>
    </row>
    <row r="229" ht="14.4" customHeight="1">
      <c r="A229" s="15" t="str">
        <v>0027</v>
      </c>
      <c r="B229" s="16" t="str">
        <v>RECUPERACION DE AREAS FORESTALES DEGRADADAS O ALTERADAS</v>
      </c>
      <c r="C229" s="17" t="str">
        <v/>
      </c>
      <c r="D229" s="18">
        <v>235000</v>
      </c>
      <c r="E229" s="18">
        <v>0</v>
      </c>
      <c r="F229" s="18">
        <v>235000</v>
      </c>
      <c r="G229" s="19">
        <v>8754</v>
      </c>
      <c r="H229" s="19">
        <v>8754</v>
      </c>
      <c r="I229" s="19">
        <v>28554</v>
      </c>
      <c r="J229" s="19">
        <v>24754</v>
      </c>
      <c r="K229" s="19">
        <v>24754</v>
      </c>
      <c r="L229" s="19">
        <v>24754</v>
      </c>
      <c r="M229" s="20">
        <f>IF(G229&gt;0,J229/G229,0)</f>
      </c>
    </row>
    <row r="230" ht="14.4" customHeight="1">
      <c r="A230" s="15" t="str">
        <v/>
      </c>
      <c r="B230" s="16" t="str">
        <v>07 FONDO DE COMPENSACION MUNICIPAL</v>
      </c>
      <c r="C230" s="17" t="str">
        <v/>
      </c>
      <c r="D230" s="18">
        <v>235000</v>
      </c>
      <c r="E230" s="18">
        <v>0</v>
      </c>
      <c r="F230" s="18">
        <v>235000</v>
      </c>
      <c r="G230" s="19">
        <v>8754</v>
      </c>
      <c r="H230" s="19">
        <v>8754</v>
      </c>
      <c r="I230" s="19">
        <v>28554</v>
      </c>
      <c r="J230" s="19">
        <v>24754</v>
      </c>
      <c r="K230" s="19">
        <v>24754</v>
      </c>
      <c r="L230" s="19">
        <v>24754</v>
      </c>
      <c r="M230" s="20">
        <f>IF(G230&gt;0,J230/G230,0)</f>
      </c>
    </row>
    <row r="231" ht="14.4" customHeight="1">
      <c r="A231" s="21" t="str">
        <v/>
      </c>
      <c r="B231" s="22" t="str">
        <v>2.3.1.10.1.4     FERTILIZANTES, INSECTICIDAS, FUNGICIDAS Y SIMILARES</v>
      </c>
      <c r="C231" s="23" t="str">
        <v/>
      </c>
      <c r="D231" s="24">
        <v>1112</v>
      </c>
      <c r="E231" s="24">
        <v>0</v>
      </c>
      <c r="F231" s="24">
        <v>1112</v>
      </c>
      <c r="G231" s="25">
        <v>0</v>
      </c>
      <c r="H231" s="25">
        <v>0</v>
      </c>
      <c r="I231" s="25">
        <v>0</v>
      </c>
      <c r="J231" s="25">
        <v>0</v>
      </c>
      <c r="K231" s="25">
        <v>0</v>
      </c>
      <c r="L231" s="25">
        <v>0</v>
      </c>
      <c r="M231" s="26">
        <f>IF(G231&gt;0,J231/G231,0)</f>
      </c>
    </row>
    <row r="232" ht="14.4" customHeight="1">
      <c r="A232" s="21" t="str">
        <v/>
      </c>
      <c r="B232" s="22" t="str">
        <v>2.3.1.10.1.5     SUMINISTROS DE ACCESORIOS Y/O MATERIALES DE USO FORESTAL</v>
      </c>
      <c r="C232" s="23" t="str">
        <v/>
      </c>
      <c r="D232" s="24">
        <v>5000</v>
      </c>
      <c r="E232" s="24">
        <v>0</v>
      </c>
      <c r="F232" s="24">
        <v>5000</v>
      </c>
      <c r="G232" s="25">
        <v>0</v>
      </c>
      <c r="H232" s="25">
        <v>0</v>
      </c>
      <c r="I232" s="25">
        <v>0</v>
      </c>
      <c r="J232" s="25">
        <v>0</v>
      </c>
      <c r="K232" s="25">
        <v>0</v>
      </c>
      <c r="L232" s="25">
        <v>0</v>
      </c>
      <c r="M232" s="26">
        <f>IF(G232&gt;0,J232/G232,0)</f>
      </c>
    </row>
    <row r="233" ht="14.4" customHeight="1">
      <c r="A233" s="21" t="str">
        <v/>
      </c>
      <c r="B233" s="22" t="str">
        <v>2.3.1.11.1.4     PARA MAQUINARIAS Y EQUIPOS</v>
      </c>
      <c r="C233" s="23" t="str">
        <v/>
      </c>
      <c r="D233" s="24">
        <v>9450</v>
      </c>
      <c r="E233" s="24">
        <v>0</v>
      </c>
      <c r="F233" s="24">
        <v>9450</v>
      </c>
      <c r="G233" s="25">
        <v>0</v>
      </c>
      <c r="H233" s="25">
        <v>0</v>
      </c>
      <c r="I233" s="25">
        <v>0</v>
      </c>
      <c r="J233" s="25">
        <v>0</v>
      </c>
      <c r="K233" s="25">
        <v>0</v>
      </c>
      <c r="L233" s="25">
        <v>0</v>
      </c>
      <c r="M233" s="26">
        <f>IF(G233&gt;0,J233/G233,0)</f>
      </c>
    </row>
    <row r="234" ht="14.4" customHeight="1">
      <c r="A234" s="21" t="str">
        <v/>
      </c>
      <c r="B234" s="22" t="str">
        <v>2.3.1.5.2.1     AGROPECUARIO, GANADERO Y DE JARDINERIA</v>
      </c>
      <c r="C234" s="23" t="str">
        <v/>
      </c>
      <c r="D234" s="24">
        <v>67590</v>
      </c>
      <c r="E234" s="24">
        <v>0</v>
      </c>
      <c r="F234" s="24">
        <v>67590</v>
      </c>
      <c r="G234" s="25">
        <v>5000</v>
      </c>
      <c r="H234" s="25">
        <v>5000</v>
      </c>
      <c r="I234" s="25">
        <v>5000</v>
      </c>
      <c r="J234" s="25">
        <v>5000</v>
      </c>
      <c r="K234" s="25">
        <v>5000</v>
      </c>
      <c r="L234" s="25">
        <v>5000</v>
      </c>
      <c r="M234" s="26">
        <f>IF(G234&gt;0,J234/G234,0)</f>
      </c>
    </row>
    <row r="235" ht="14.4" customHeight="1">
      <c r="A235" s="21" t="str">
        <v/>
      </c>
      <c r="B235" s="22" t="str">
        <v>2.3.1.5.99.99     OTROS</v>
      </c>
      <c r="C235" s="23" t="str">
        <v/>
      </c>
      <c r="D235" s="24">
        <v>1530</v>
      </c>
      <c r="E235" s="24">
        <v>0</v>
      </c>
      <c r="F235" s="24">
        <v>1530</v>
      </c>
      <c r="G235" s="25">
        <v>0</v>
      </c>
      <c r="H235" s="25">
        <v>0</v>
      </c>
      <c r="I235" s="25">
        <v>0</v>
      </c>
      <c r="J235" s="25">
        <v>0</v>
      </c>
      <c r="K235" s="25">
        <v>0</v>
      </c>
      <c r="L235" s="25">
        <v>0</v>
      </c>
      <c r="M235" s="26">
        <f>IF(G235&gt;0,J235/G235,0)</f>
      </c>
    </row>
    <row r="236" ht="14.4" customHeight="1">
      <c r="A236" s="21" t="str">
        <v/>
      </c>
      <c r="B236" s="22" t="str">
        <v>2.3.1.9.1.99     OTROS MATERIALES DIVERSOS DE ENSEÑANZA</v>
      </c>
      <c r="C236" s="23" t="str">
        <v/>
      </c>
      <c r="D236" s="24">
        <v>4000</v>
      </c>
      <c r="E236" s="24">
        <v>0</v>
      </c>
      <c r="F236" s="24">
        <v>4000</v>
      </c>
      <c r="G236" s="25">
        <v>0</v>
      </c>
      <c r="H236" s="25">
        <v>0</v>
      </c>
      <c r="I236" s="25">
        <v>0</v>
      </c>
      <c r="J236" s="25">
        <v>0</v>
      </c>
      <c r="K236" s="25">
        <v>0</v>
      </c>
      <c r="L236" s="25">
        <v>0</v>
      </c>
      <c r="M236" s="26">
        <f>IF(G236&gt;0,J236/G236,0)</f>
      </c>
    </row>
    <row r="237" ht="14.4" customHeight="1">
      <c r="A237" s="21" t="str">
        <v/>
      </c>
      <c r="B237" s="22" t="str">
        <v>2.3.1.99.1.2     PRODUCTOS QUIMICOS</v>
      </c>
      <c r="C237" s="23" t="str">
        <v/>
      </c>
      <c r="D237" s="24">
        <v>1000</v>
      </c>
      <c r="E237" s="24">
        <v>0</v>
      </c>
      <c r="F237" s="24">
        <v>1000</v>
      </c>
      <c r="G237" s="25">
        <v>0</v>
      </c>
      <c r="H237" s="25">
        <v>0</v>
      </c>
      <c r="I237" s="25">
        <v>0</v>
      </c>
      <c r="J237" s="25">
        <v>0</v>
      </c>
      <c r="K237" s="25">
        <v>0</v>
      </c>
      <c r="L237" s="25">
        <v>0</v>
      </c>
      <c r="M237" s="26">
        <f>IF(G237&gt;0,J237/G237,0)</f>
      </c>
    </row>
    <row r="238" ht="14.4" customHeight="1">
      <c r="A238" s="21" t="str">
        <v/>
      </c>
      <c r="B238" s="22" t="str">
        <v>2.3.1.99.1.99     OTROS BIENES</v>
      </c>
      <c r="C238" s="23" t="str">
        <v/>
      </c>
      <c r="D238" s="24">
        <v>2848</v>
      </c>
      <c r="E238" s="24">
        <v>0</v>
      </c>
      <c r="F238" s="24">
        <v>2848</v>
      </c>
      <c r="G238" s="25">
        <v>0</v>
      </c>
      <c r="H238" s="25">
        <v>0</v>
      </c>
      <c r="I238" s="25">
        <v>0</v>
      </c>
      <c r="J238" s="25">
        <v>0</v>
      </c>
      <c r="K238" s="25">
        <v>0</v>
      </c>
      <c r="L238" s="25">
        <v>0</v>
      </c>
      <c r="M238" s="26">
        <f>IF(G238&gt;0,J238/G238,0)</f>
      </c>
    </row>
    <row r="239" ht="14.4" customHeight="1">
      <c r="A239" s="21" t="str">
        <v/>
      </c>
      <c r="B239" s="22" t="str">
        <v>2.3.2.7.11.99     SERVICIOS DIVERSOS</v>
      </c>
      <c r="C239" s="23" t="str">
        <v/>
      </c>
      <c r="D239" s="24">
        <v>142470</v>
      </c>
      <c r="E239" s="24">
        <v>0</v>
      </c>
      <c r="F239" s="24">
        <v>142470</v>
      </c>
      <c r="G239" s="25">
        <v>3754</v>
      </c>
      <c r="H239" s="25">
        <v>3754</v>
      </c>
      <c r="I239" s="25">
        <v>23554</v>
      </c>
      <c r="J239" s="25">
        <v>19754</v>
      </c>
      <c r="K239" s="25">
        <v>19754</v>
      </c>
      <c r="L239" s="25">
        <v>19754</v>
      </c>
      <c r="M239" s="26">
        <f>IF(G239&gt;0,J239/G239,0)</f>
      </c>
    </row>
    <row r="240" ht="14.4" customHeight="1">
      <c r="A240" s="15" t="str">
        <v>0028</v>
      </c>
      <c r="B240" s="16" t="str">
        <v>SENSIBILIZACION A LA POBLACION SOBRE EL USO ADECUADO DE TIERRAS FORESTALES, BOSQUES NATURALES, ECOSISTEMAS FORESTALES, BUEN MANEJO DE LA FAUNA SILVESTRE</v>
      </c>
      <c r="C240" s="17" t="str">
        <v/>
      </c>
      <c r="D240" s="18">
        <v>377534</v>
      </c>
      <c r="E240" s="18">
        <v>0</v>
      </c>
      <c r="F240" s="18">
        <v>377534</v>
      </c>
      <c r="G240" s="19">
        <v>14390</v>
      </c>
      <c r="H240" s="19">
        <v>14390</v>
      </c>
      <c r="I240" s="19">
        <v>21590</v>
      </c>
      <c r="J240" s="19">
        <v>21590</v>
      </c>
      <c r="K240" s="19">
        <v>21590</v>
      </c>
      <c r="L240" s="19">
        <v>21590</v>
      </c>
      <c r="M240" s="20">
        <f>IF(G240&gt;0,J240/G240,0)</f>
      </c>
    </row>
    <row r="241" ht="14.4" customHeight="1">
      <c r="A241" s="15" t="str">
        <v/>
      </c>
      <c r="B241" s="16" t="str">
        <v>07 FONDO DE COMPENSACION MUNICIPAL</v>
      </c>
      <c r="C241" s="17" t="str">
        <v/>
      </c>
      <c r="D241" s="18">
        <v>377534</v>
      </c>
      <c r="E241" s="18">
        <v>0</v>
      </c>
      <c r="F241" s="18">
        <v>377534</v>
      </c>
      <c r="G241" s="19">
        <v>14390</v>
      </c>
      <c r="H241" s="19">
        <v>14390</v>
      </c>
      <c r="I241" s="19">
        <v>21590</v>
      </c>
      <c r="J241" s="19">
        <v>21590</v>
      </c>
      <c r="K241" s="19">
        <v>21590</v>
      </c>
      <c r="L241" s="19">
        <v>21590</v>
      </c>
      <c r="M241" s="20">
        <f>IF(G241&gt;0,J241/G241,0)</f>
      </c>
    </row>
    <row r="242" ht="14.4" customHeight="1">
      <c r="A242" s="21" t="str">
        <v/>
      </c>
      <c r="B242" s="22" t="str">
        <v>2.3.1.10.1.4     FERTILIZANTES, INSECTICIDAS, FUNGICIDAS Y SIMILARES</v>
      </c>
      <c r="C242" s="23" t="str">
        <v/>
      </c>
      <c r="D242" s="24">
        <v>150</v>
      </c>
      <c r="E242" s="24">
        <v>0</v>
      </c>
      <c r="F242" s="24">
        <v>150</v>
      </c>
      <c r="G242" s="25">
        <v>0</v>
      </c>
      <c r="H242" s="25">
        <v>0</v>
      </c>
      <c r="I242" s="25">
        <v>0</v>
      </c>
      <c r="J242" s="25">
        <v>0</v>
      </c>
      <c r="K242" s="25">
        <v>0</v>
      </c>
      <c r="L242" s="25">
        <v>0</v>
      </c>
      <c r="M242" s="26">
        <f>IF(G242&gt;0,J242/G242,0)</f>
      </c>
    </row>
    <row r="243" ht="14.4" customHeight="1">
      <c r="A243" s="21" t="str">
        <v/>
      </c>
      <c r="B243" s="22" t="str">
        <v>2.3.1.10.1.5     SUMINISTROS DE ACCESORIOS Y/O MATERIALES DE USO FORESTAL</v>
      </c>
      <c r="C243" s="23" t="str">
        <v/>
      </c>
      <c r="D243" s="24">
        <v>4500</v>
      </c>
      <c r="E243" s="24">
        <v>0</v>
      </c>
      <c r="F243" s="24">
        <v>4500</v>
      </c>
      <c r="G243" s="25">
        <v>4500</v>
      </c>
      <c r="H243" s="25">
        <v>4500</v>
      </c>
      <c r="I243" s="25">
        <v>4500</v>
      </c>
      <c r="J243" s="25">
        <v>4500</v>
      </c>
      <c r="K243" s="25">
        <v>4500</v>
      </c>
      <c r="L243" s="25">
        <v>4500</v>
      </c>
      <c r="M243" s="26">
        <f>IF(G243&gt;0,J243/G243,0)</f>
      </c>
    </row>
    <row r="244" ht="14.4" customHeight="1">
      <c r="A244" s="21" t="str">
        <v/>
      </c>
      <c r="B244" s="22" t="str">
        <v>2.3.1.11.1.5     OTROS MATERIALES DE MANTENIMIENTO</v>
      </c>
      <c r="C244" s="23" t="str">
        <v/>
      </c>
      <c r="D244" s="24">
        <v>3716</v>
      </c>
      <c r="E244" s="24">
        <v>0</v>
      </c>
      <c r="F244" s="24">
        <v>3716</v>
      </c>
      <c r="G244" s="25">
        <v>0</v>
      </c>
      <c r="H244" s="25">
        <v>0</v>
      </c>
      <c r="I244" s="25">
        <v>0</v>
      </c>
      <c r="J244" s="25">
        <v>0</v>
      </c>
      <c r="K244" s="25">
        <v>0</v>
      </c>
      <c r="L244" s="25">
        <v>0</v>
      </c>
      <c r="M244" s="26">
        <f>IF(G244&gt;0,J244/G244,0)</f>
      </c>
    </row>
    <row r="245" ht="14.4" customHeight="1">
      <c r="A245" s="21" t="str">
        <v/>
      </c>
      <c r="B245" s="22" t="str">
        <v>2.3.1.2.1.1     VESTUARIO, ACCESORIOS Y PRENDAS DIVERSAS</v>
      </c>
      <c r="C245" s="23" t="str">
        <v/>
      </c>
      <c r="D245" s="24">
        <v>6685</v>
      </c>
      <c r="E245" s="24">
        <v>0</v>
      </c>
      <c r="F245" s="24">
        <v>6685</v>
      </c>
      <c r="G245" s="25">
        <v>0</v>
      </c>
      <c r="H245" s="25">
        <v>0</v>
      </c>
      <c r="I245" s="25">
        <v>0</v>
      </c>
      <c r="J245" s="25">
        <v>0</v>
      </c>
      <c r="K245" s="25">
        <v>0</v>
      </c>
      <c r="L245" s="25">
        <v>0</v>
      </c>
      <c r="M245" s="26">
        <f>IF(G245&gt;0,J245/G245,0)</f>
      </c>
    </row>
    <row r="246" ht="14.4" customHeight="1">
      <c r="A246" s="21" t="str">
        <v/>
      </c>
      <c r="B246" s="22" t="str">
        <v>2.3.1.2.1.3     CALZADO</v>
      </c>
      <c r="C246" s="23" t="str">
        <v/>
      </c>
      <c r="D246" s="24">
        <v>700</v>
      </c>
      <c r="E246" s="24">
        <v>0</v>
      </c>
      <c r="F246" s="24">
        <v>700</v>
      </c>
      <c r="G246" s="25">
        <v>0</v>
      </c>
      <c r="H246" s="25">
        <v>0</v>
      </c>
      <c r="I246" s="25">
        <v>0</v>
      </c>
      <c r="J246" s="25">
        <v>0</v>
      </c>
      <c r="K246" s="25">
        <v>0</v>
      </c>
      <c r="L246" s="25">
        <v>0</v>
      </c>
      <c r="M246" s="26">
        <f>IF(G246&gt;0,J246/G246,0)</f>
      </c>
    </row>
    <row r="247" ht="14.4" customHeight="1">
      <c r="A247" s="21" t="str">
        <v/>
      </c>
      <c r="B247" s="22" t="str">
        <v>2.3.1.5.1.2     PAPELERIA EN GENERAL, UTILES Y MATERIALES DE OFICINA</v>
      </c>
      <c r="C247" s="23" t="str">
        <v/>
      </c>
      <c r="D247" s="24">
        <v>3920</v>
      </c>
      <c r="E247" s="24">
        <v>0</v>
      </c>
      <c r="F247" s="24">
        <v>3920</v>
      </c>
      <c r="G247" s="25">
        <v>0</v>
      </c>
      <c r="H247" s="25">
        <v>0</v>
      </c>
      <c r="I247" s="25">
        <v>0</v>
      </c>
      <c r="J247" s="25">
        <v>0</v>
      </c>
      <c r="K247" s="25">
        <v>0</v>
      </c>
      <c r="L247" s="25">
        <v>0</v>
      </c>
      <c r="M247" s="26">
        <f>IF(G247&gt;0,J247/G247,0)</f>
      </c>
    </row>
    <row r="248" ht="14.4" customHeight="1">
      <c r="A248" s="21" t="str">
        <v/>
      </c>
      <c r="B248" s="22" t="str">
        <v>2.3.1.5.2.1     AGROPECUARIO, GANADERO Y DE JARDINERIA</v>
      </c>
      <c r="C248" s="23" t="str">
        <v/>
      </c>
      <c r="D248" s="24">
        <v>1385</v>
      </c>
      <c r="E248" s="24">
        <v>0</v>
      </c>
      <c r="F248" s="24">
        <v>1385</v>
      </c>
      <c r="G248" s="25">
        <v>1385</v>
      </c>
      <c r="H248" s="25">
        <v>1385</v>
      </c>
      <c r="I248" s="25">
        <v>1385</v>
      </c>
      <c r="J248" s="25">
        <v>1385</v>
      </c>
      <c r="K248" s="25">
        <v>1385</v>
      </c>
      <c r="L248" s="25">
        <v>1385</v>
      </c>
      <c r="M248" s="26">
        <f>IF(G248&gt;0,J248/G248,0)</f>
      </c>
    </row>
    <row r="249" ht="14.4" customHeight="1">
      <c r="A249" s="21" t="str">
        <v/>
      </c>
      <c r="B249" s="22" t="str">
        <v>2.3.1.5.3.1     ASEO, LIMPIEZA Y TOCADOR</v>
      </c>
      <c r="C249" s="23" t="str">
        <v/>
      </c>
      <c r="D249" s="24">
        <v>5473</v>
      </c>
      <c r="E249" s="24">
        <v>0</v>
      </c>
      <c r="F249" s="24">
        <v>5473</v>
      </c>
      <c r="G249" s="25">
        <v>0</v>
      </c>
      <c r="H249" s="25">
        <v>0</v>
      </c>
      <c r="I249" s="25">
        <v>0</v>
      </c>
      <c r="J249" s="25">
        <v>0</v>
      </c>
      <c r="K249" s="25">
        <v>0</v>
      </c>
      <c r="L249" s="25">
        <v>0</v>
      </c>
      <c r="M249" s="26">
        <f>IF(G249&gt;0,J249/G249,0)</f>
      </c>
    </row>
    <row r="250" ht="14.4" customHeight="1">
      <c r="A250" s="21" t="str">
        <v/>
      </c>
      <c r="B250" s="22" t="str">
        <v>2.3.1.5.4.1     ELECTRICIDAD, ILUMINACION Y ELECTRONICA</v>
      </c>
      <c r="C250" s="23" t="str">
        <v/>
      </c>
      <c r="D250" s="24">
        <v>500</v>
      </c>
      <c r="E250" s="24">
        <v>0</v>
      </c>
      <c r="F250" s="24">
        <v>500</v>
      </c>
      <c r="G250" s="25">
        <v>0</v>
      </c>
      <c r="H250" s="25">
        <v>0</v>
      </c>
      <c r="I250" s="25">
        <v>0</v>
      </c>
      <c r="J250" s="25">
        <v>0</v>
      </c>
      <c r="K250" s="25">
        <v>0</v>
      </c>
      <c r="L250" s="25">
        <v>0</v>
      </c>
      <c r="M250" s="26">
        <f>IF(G250&gt;0,J250/G250,0)</f>
      </c>
    </row>
    <row r="251" ht="14.4" customHeight="1">
      <c r="A251" s="21" t="str">
        <v/>
      </c>
      <c r="B251" s="22" t="str">
        <v>2.3.1.6.1.3     DE CONSTRUCCION Y MAQUINAS</v>
      </c>
      <c r="C251" s="23" t="str">
        <v/>
      </c>
      <c r="D251" s="24">
        <v>1380</v>
      </c>
      <c r="E251" s="24">
        <v>0</v>
      </c>
      <c r="F251" s="24">
        <v>1380</v>
      </c>
      <c r="G251" s="25">
        <v>0</v>
      </c>
      <c r="H251" s="25">
        <v>0</v>
      </c>
      <c r="I251" s="25">
        <v>0</v>
      </c>
      <c r="J251" s="25">
        <v>0</v>
      </c>
      <c r="K251" s="25">
        <v>0</v>
      </c>
      <c r="L251" s="25">
        <v>0</v>
      </c>
      <c r="M251" s="26">
        <f>IF(G251&gt;0,J251/G251,0)</f>
      </c>
    </row>
    <row r="252" ht="14.4" customHeight="1">
      <c r="A252" s="21" t="str">
        <v/>
      </c>
      <c r="B252" s="22" t="str">
        <v>2.3.1.6.1.4     DE SEGURIDAD</v>
      </c>
      <c r="C252" s="23" t="str">
        <v/>
      </c>
      <c r="D252" s="24">
        <v>11095</v>
      </c>
      <c r="E252" s="24">
        <v>0</v>
      </c>
      <c r="F252" s="24">
        <v>11095</v>
      </c>
      <c r="G252" s="25">
        <v>0</v>
      </c>
      <c r="H252" s="25">
        <v>0</v>
      </c>
      <c r="I252" s="25">
        <v>0</v>
      </c>
      <c r="J252" s="25">
        <v>0</v>
      </c>
      <c r="K252" s="25">
        <v>0</v>
      </c>
      <c r="L252" s="25">
        <v>0</v>
      </c>
      <c r="M252" s="26">
        <f>IF(G252&gt;0,J252/G252,0)</f>
      </c>
    </row>
    <row r="253" ht="14.4" customHeight="1">
      <c r="A253" s="21" t="str">
        <v/>
      </c>
      <c r="B253" s="22" t="str">
        <v>2.3.1.6.1.99     OTROS ACCESORIOS Y REPUESTOS</v>
      </c>
      <c r="C253" s="23" t="str">
        <v/>
      </c>
      <c r="D253" s="24">
        <v>900</v>
      </c>
      <c r="E253" s="24">
        <v>0</v>
      </c>
      <c r="F253" s="24">
        <v>900</v>
      </c>
      <c r="G253" s="25">
        <v>0</v>
      </c>
      <c r="H253" s="25">
        <v>0</v>
      </c>
      <c r="I253" s="25">
        <v>0</v>
      </c>
      <c r="J253" s="25">
        <v>0</v>
      </c>
      <c r="K253" s="25">
        <v>0</v>
      </c>
      <c r="L253" s="25">
        <v>0</v>
      </c>
      <c r="M253" s="26">
        <f>IF(G253&gt;0,J253/G253,0)</f>
      </c>
    </row>
    <row r="254" ht="14.4" customHeight="1">
      <c r="A254" s="21" t="str">
        <v/>
      </c>
      <c r="B254" s="22" t="str">
        <v>2.3.1.8.2.1     MATERIAL, INSUMOS, INSTRUMENTAL Y ACCESORIOS  MEDICOS, QUIRURGICOS, ODONTOLOGI</v>
      </c>
      <c r="C254" s="23" t="str">
        <v/>
      </c>
      <c r="D254" s="24">
        <v>400</v>
      </c>
      <c r="E254" s="24">
        <v>0</v>
      </c>
      <c r="F254" s="24">
        <v>400</v>
      </c>
      <c r="G254" s="25">
        <v>0</v>
      </c>
      <c r="H254" s="25">
        <v>0</v>
      </c>
      <c r="I254" s="25">
        <v>0</v>
      </c>
      <c r="J254" s="25">
        <v>0</v>
      </c>
      <c r="K254" s="25">
        <v>0</v>
      </c>
      <c r="L254" s="25">
        <v>0</v>
      </c>
      <c r="M254" s="26">
        <f>IF(G254&gt;0,J254/G254,0)</f>
      </c>
    </row>
    <row r="255" ht="14.4" customHeight="1">
      <c r="A255" s="21" t="str">
        <v/>
      </c>
      <c r="B255" s="22" t="str">
        <v>2.3.1.9.1.99     OTROS MATERIALES DIVERSOS DE ENSEÑANZA</v>
      </c>
      <c r="C255" s="23" t="str">
        <v/>
      </c>
      <c r="D255" s="24">
        <v>34530</v>
      </c>
      <c r="E255" s="24">
        <v>0</v>
      </c>
      <c r="F255" s="24">
        <v>34530</v>
      </c>
      <c r="G255" s="25">
        <v>0</v>
      </c>
      <c r="H255" s="25">
        <v>0</v>
      </c>
      <c r="I255" s="25">
        <v>0</v>
      </c>
      <c r="J255" s="25">
        <v>0</v>
      </c>
      <c r="K255" s="25">
        <v>0</v>
      </c>
      <c r="L255" s="25">
        <v>0</v>
      </c>
      <c r="M255" s="26">
        <f>IF(G255&gt;0,J255/G255,0)</f>
      </c>
    </row>
    <row r="256" ht="14.4" customHeight="1">
      <c r="A256" s="21" t="str">
        <v/>
      </c>
      <c r="B256" s="22" t="str">
        <v>2.3.1.99.1.1     HERRAMIENTAS</v>
      </c>
      <c r="C256" s="23" t="str">
        <v/>
      </c>
      <c r="D256" s="24">
        <v>7740</v>
      </c>
      <c r="E256" s="24">
        <v>0</v>
      </c>
      <c r="F256" s="24">
        <v>7740</v>
      </c>
      <c r="G256" s="25">
        <v>0</v>
      </c>
      <c r="H256" s="25">
        <v>0</v>
      </c>
      <c r="I256" s="25">
        <v>0</v>
      </c>
      <c r="J256" s="25">
        <v>0</v>
      </c>
      <c r="K256" s="25">
        <v>0</v>
      </c>
      <c r="L256" s="25">
        <v>0</v>
      </c>
      <c r="M256" s="26">
        <f>IF(G256&gt;0,J256/G256,0)</f>
      </c>
    </row>
    <row r="257" ht="14.4" customHeight="1">
      <c r="A257" s="21" t="str">
        <v/>
      </c>
      <c r="B257" s="22" t="str">
        <v>2.3.1.99.1.3     LIBROS, DIARIOS, REVISTAS Y OTROS BIENES IMPRESOS NO VINCULADOS A ENSEÑANZA</v>
      </c>
      <c r="C257" s="23" t="str">
        <v/>
      </c>
      <c r="D257" s="24">
        <v>95</v>
      </c>
      <c r="E257" s="24">
        <v>0</v>
      </c>
      <c r="F257" s="24">
        <v>95</v>
      </c>
      <c r="G257" s="25">
        <v>0</v>
      </c>
      <c r="H257" s="25">
        <v>0</v>
      </c>
      <c r="I257" s="25">
        <v>0</v>
      </c>
      <c r="J257" s="25">
        <v>0</v>
      </c>
      <c r="K257" s="25">
        <v>0</v>
      </c>
      <c r="L257" s="25">
        <v>0</v>
      </c>
      <c r="M257" s="26">
        <f>IF(G257&gt;0,J257/G257,0)</f>
      </c>
    </row>
    <row r="258" ht="14.4" customHeight="1">
      <c r="A258" s="21" t="str">
        <v/>
      </c>
      <c r="B258" s="22" t="str">
        <v>2.3.1.99.1.99     OTROS BIENES</v>
      </c>
      <c r="C258" s="23" t="str">
        <v/>
      </c>
      <c r="D258" s="24">
        <v>10468</v>
      </c>
      <c r="E258" s="24">
        <v>0</v>
      </c>
      <c r="F258" s="24">
        <v>10468</v>
      </c>
      <c r="G258" s="25">
        <v>2105</v>
      </c>
      <c r="H258" s="25">
        <v>2105</v>
      </c>
      <c r="I258" s="25">
        <v>2105</v>
      </c>
      <c r="J258" s="25">
        <v>2105</v>
      </c>
      <c r="K258" s="25">
        <v>2105</v>
      </c>
      <c r="L258" s="25">
        <v>2105</v>
      </c>
      <c r="M258" s="26">
        <f>IF(G258&gt;0,J258/G258,0)</f>
      </c>
    </row>
    <row r="259" ht="14.4" customHeight="1">
      <c r="A259" s="21" t="str">
        <v/>
      </c>
      <c r="B259" s="22" t="str">
        <v>2.3.2.7.11.99     SERVICIOS DIVERSOS</v>
      </c>
      <c r="C259" s="23" t="str">
        <v/>
      </c>
      <c r="D259" s="24">
        <v>283797</v>
      </c>
      <c r="E259" s="24">
        <v>0</v>
      </c>
      <c r="F259" s="24">
        <v>283797</v>
      </c>
      <c r="G259" s="25">
        <v>6400</v>
      </c>
      <c r="H259" s="25">
        <v>6400</v>
      </c>
      <c r="I259" s="25">
        <v>13600</v>
      </c>
      <c r="J259" s="25">
        <v>13600</v>
      </c>
      <c r="K259" s="25">
        <v>13600</v>
      </c>
      <c r="L259" s="25">
        <v>13600</v>
      </c>
      <c r="M259" s="26">
        <f>IF(G259&gt;0,J259/G259,0)</f>
      </c>
    </row>
    <row r="260" ht="14.4" customHeight="1">
      <c r="A260" s="21" t="str">
        <v/>
      </c>
      <c r="B260" s="22" t="str">
        <v>2.3.2.7.14.98     OTROS SERVICIOS TÉCNICOS Y PROFESIONALES DESARROLLADOS POR PERSONAS NATURALES</v>
      </c>
      <c r="C260" s="23" t="str">
        <v/>
      </c>
      <c r="D260" s="24">
        <v>100</v>
      </c>
      <c r="E260" s="24">
        <v>0</v>
      </c>
      <c r="F260" s="24">
        <v>100</v>
      </c>
      <c r="G260" s="25">
        <v>0</v>
      </c>
      <c r="H260" s="25">
        <v>0</v>
      </c>
      <c r="I260" s="25">
        <v>0</v>
      </c>
      <c r="J260" s="25">
        <v>0</v>
      </c>
      <c r="K260" s="25">
        <v>0</v>
      </c>
      <c r="L260" s="25">
        <v>0</v>
      </c>
      <c r="M260" s="26">
        <f>IF(G260&gt;0,J260/G260,0)</f>
      </c>
    </row>
    <row r="261" ht="14.4" customHeight="1">
      <c r="A261" s="15" t="str">
        <v>0029</v>
      </c>
      <c r="B261" s="16" t="str">
        <v>RENOVACION DE PUENTE; EN EL CAMINO VECINAL PI 848 (PUENTE JIBAJA CHE- CERRO COLORADO), EN EL BARRIO JIBAJA CHE EN LA LOCALIDAD HUANCABAMBA, DISTRITO DE HUANCABAMBA, HUANCABAMBA, PIURA</v>
      </c>
      <c r="C261" s="17" t="str">
        <v/>
      </c>
      <c r="D261" s="18">
        <v>95745</v>
      </c>
      <c r="E261" s="18">
        <v>0</v>
      </c>
      <c r="F261" s="18">
        <v>95745</v>
      </c>
      <c r="G261" s="19">
        <v>0</v>
      </c>
      <c r="H261" s="19">
        <v>0</v>
      </c>
      <c r="I261" s="19">
        <v>0</v>
      </c>
      <c r="J261" s="19">
        <v>0</v>
      </c>
      <c r="K261" s="19">
        <v>0</v>
      </c>
      <c r="L261" s="19">
        <v>0</v>
      </c>
      <c r="M261" s="20">
        <f>IF(G261&gt;0,J261/G261,0)</f>
      </c>
    </row>
    <row r="262" ht="14.4" customHeight="1">
      <c r="A262" s="15" t="str">
        <v/>
      </c>
      <c r="B262" s="16" t="str">
        <v>00 RECURSOS ORDINARIOS</v>
      </c>
      <c r="C262" s="17" t="str">
        <v/>
      </c>
      <c r="D262" s="18">
        <v>95745</v>
      </c>
      <c r="E262" s="18">
        <v>0</v>
      </c>
      <c r="F262" s="18">
        <v>95745</v>
      </c>
      <c r="G262" s="19">
        <v>0</v>
      </c>
      <c r="H262" s="19">
        <v>0</v>
      </c>
      <c r="I262" s="19">
        <v>0</v>
      </c>
      <c r="J262" s="19">
        <v>0</v>
      </c>
      <c r="K262" s="19">
        <v>0</v>
      </c>
      <c r="L262" s="19">
        <v>0</v>
      </c>
      <c r="M262" s="20">
        <f>IF(G262&gt;0,J262/G262,0)</f>
      </c>
    </row>
    <row r="263" ht="14.4" customHeight="1">
      <c r="A263" s="21" t="str">
        <v/>
      </c>
      <c r="B263" s="22" t="str">
        <v>2.6.2.3.2.3     COSTO DE CONSTRUCCION POR CONTRATA</v>
      </c>
      <c r="C263" s="23" t="str">
        <v/>
      </c>
      <c r="D263" s="24">
        <v>95745</v>
      </c>
      <c r="E263" s="24">
        <v>0</v>
      </c>
      <c r="F263" s="24">
        <v>95745</v>
      </c>
      <c r="G263" s="25">
        <v>0</v>
      </c>
      <c r="H263" s="25">
        <v>0</v>
      </c>
      <c r="I263" s="25">
        <v>0</v>
      </c>
      <c r="J263" s="25">
        <v>0</v>
      </c>
      <c r="K263" s="25">
        <v>0</v>
      </c>
      <c r="L263" s="25">
        <v>0</v>
      </c>
      <c r="M263" s="26">
        <f>IF(G263&gt;0,J263/G263,0)</f>
      </c>
    </row>
    <row r="264" ht="14.4" customHeight="1">
      <c r="A264" s="15" t="str">
        <v>0030</v>
      </c>
      <c r="B264" s="16" t="str">
        <v>RENOVACION DE PUENTE; EN EL CAMINO VECINAL PI 840(PUENTE LAUMACHE) EN LA LOCALIDAD LAUMACHE, DISTRITO DE HUANCABAMBA, HUANCABAMBA, PIURA</v>
      </c>
      <c r="C264" s="17" t="str">
        <v/>
      </c>
      <c r="D264" s="18">
        <v>3039</v>
      </c>
      <c r="E264" s="18">
        <v>0</v>
      </c>
      <c r="F264" s="18">
        <v>3039</v>
      </c>
      <c r="G264" s="19">
        <v>0</v>
      </c>
      <c r="H264" s="19">
        <v>0</v>
      </c>
      <c r="I264" s="19">
        <v>0</v>
      </c>
      <c r="J264" s="19">
        <v>0</v>
      </c>
      <c r="K264" s="19">
        <v>0</v>
      </c>
      <c r="L264" s="19">
        <v>0</v>
      </c>
      <c r="M264" s="20">
        <f>IF(G264&gt;0,J264/G264,0)</f>
      </c>
    </row>
    <row r="265" ht="14.4" customHeight="1">
      <c r="A265" s="15" t="str">
        <v/>
      </c>
      <c r="B265" s="16" t="str">
        <v>00 RECURSOS ORDINARIOS</v>
      </c>
      <c r="C265" s="17" t="str">
        <v/>
      </c>
      <c r="D265" s="18">
        <v>3039</v>
      </c>
      <c r="E265" s="18">
        <v>0</v>
      </c>
      <c r="F265" s="18">
        <v>3039</v>
      </c>
      <c r="G265" s="19">
        <v>0</v>
      </c>
      <c r="H265" s="19">
        <v>0</v>
      </c>
      <c r="I265" s="19">
        <v>0</v>
      </c>
      <c r="J265" s="19">
        <v>0</v>
      </c>
      <c r="K265" s="19">
        <v>0</v>
      </c>
      <c r="L265" s="19">
        <v>0</v>
      </c>
      <c r="M265" s="20">
        <f>IF(G265&gt;0,J265/G265,0)</f>
      </c>
    </row>
    <row r="266" ht="14.4" customHeight="1">
      <c r="A266" s="21" t="str">
        <v/>
      </c>
      <c r="B266" s="22" t="str">
        <v>2.6.2.3.2.3     COSTO DE CONSTRUCCION POR CONTRATA</v>
      </c>
      <c r="C266" s="23" t="str">
        <v/>
      </c>
      <c r="D266" s="24">
        <v>3039</v>
      </c>
      <c r="E266" s="24">
        <v>0</v>
      </c>
      <c r="F266" s="24">
        <v>3039</v>
      </c>
      <c r="G266" s="25">
        <v>0</v>
      </c>
      <c r="H266" s="25">
        <v>0</v>
      </c>
      <c r="I266" s="25">
        <v>0</v>
      </c>
      <c r="J266" s="25">
        <v>0</v>
      </c>
      <c r="K266" s="25">
        <v>0</v>
      </c>
      <c r="L266" s="25">
        <v>0</v>
      </c>
      <c r="M266" s="26">
        <f>IF(G266&gt;0,J266/G266,0)</f>
      </c>
    </row>
    <row r="267" ht="14.4" customHeight="1">
      <c r="A267" s="15" t="str">
        <v>0031</v>
      </c>
      <c r="B267" s="16" t="str">
        <v>RENOVACION DE PUENTE; EN EL CAMINO VECINAL PI839(PUENTE CAJAS ALUMBRE- CAJAS CANCHAQUE) EN LA LOCALIDAD CAJAS ALUMBRE, DISTRITO DE EL CARMEN DE LA FRONTERA, HUANCABAMBA, PIURA</v>
      </c>
      <c r="C267" s="17" t="str">
        <v/>
      </c>
      <c r="D267" s="18">
        <v>53731</v>
      </c>
      <c r="E267" s="18">
        <v>0</v>
      </c>
      <c r="F267" s="18">
        <v>53731</v>
      </c>
      <c r="G267" s="19">
        <v>0</v>
      </c>
      <c r="H267" s="19">
        <v>0</v>
      </c>
      <c r="I267" s="19">
        <v>0</v>
      </c>
      <c r="J267" s="19">
        <v>0</v>
      </c>
      <c r="K267" s="19">
        <v>0</v>
      </c>
      <c r="L267" s="19">
        <v>0</v>
      </c>
      <c r="M267" s="20">
        <f>IF(G267&gt;0,J267/G267,0)</f>
      </c>
    </row>
    <row r="268" ht="14.4" customHeight="1">
      <c r="A268" s="15" t="str">
        <v/>
      </c>
      <c r="B268" s="16" t="str">
        <v>00 RECURSOS ORDINARIOS</v>
      </c>
      <c r="C268" s="17" t="str">
        <v/>
      </c>
      <c r="D268" s="18">
        <v>53731</v>
      </c>
      <c r="E268" s="18">
        <v>0</v>
      </c>
      <c r="F268" s="18">
        <v>53731</v>
      </c>
      <c r="G268" s="19">
        <v>0</v>
      </c>
      <c r="H268" s="19">
        <v>0</v>
      </c>
      <c r="I268" s="19">
        <v>0</v>
      </c>
      <c r="J268" s="19">
        <v>0</v>
      </c>
      <c r="K268" s="19">
        <v>0</v>
      </c>
      <c r="L268" s="19">
        <v>0</v>
      </c>
      <c r="M268" s="20">
        <f>IF(G268&gt;0,J268/G268,0)</f>
      </c>
    </row>
    <row r="269" ht="14.4" customHeight="1">
      <c r="A269" s="21" t="str">
        <v/>
      </c>
      <c r="B269" s="22" t="str">
        <v>2.6.8.1.3.1     ELABORACION DE EXPEDIENTES TECNICOS</v>
      </c>
      <c r="C269" s="23" t="str">
        <v/>
      </c>
      <c r="D269" s="24">
        <v>53731</v>
      </c>
      <c r="E269" s="24">
        <v>0</v>
      </c>
      <c r="F269" s="24">
        <v>53731</v>
      </c>
      <c r="G269" s="25">
        <v>0</v>
      </c>
      <c r="H269" s="25">
        <v>0</v>
      </c>
      <c r="I269" s="25">
        <v>0</v>
      </c>
      <c r="J269" s="25">
        <v>0</v>
      </c>
      <c r="K269" s="25">
        <v>0</v>
      </c>
      <c r="L269" s="25">
        <v>0</v>
      </c>
      <c r="M269" s="26">
        <f>IF(G269&gt;0,J269/G269,0)</f>
      </c>
    </row>
    <row r="270" ht="14.4" customHeight="1">
      <c r="A270" s="15" t="str">
        <v>0032</v>
      </c>
      <c r="B270" s="16" t="str">
        <v>RENOVACION DE PUENTE; EN EL CAMINO VECINAL PI 846 (PUENTE COMENDEROS BAJO-ALIGUAY) EN LA LOCALIDAD COMENDEROS BAJO, DISTRITO DE HUANCABAMBA, HUANCABAMBA, PIURA</v>
      </c>
      <c r="C270" s="17" t="str">
        <v/>
      </c>
      <c r="D270" s="18">
        <v>58120</v>
      </c>
      <c r="E270" s="18">
        <v>0</v>
      </c>
      <c r="F270" s="18">
        <v>58120</v>
      </c>
      <c r="G270" s="19">
        <v>0</v>
      </c>
      <c r="H270" s="19">
        <v>0</v>
      </c>
      <c r="I270" s="19">
        <v>0</v>
      </c>
      <c r="J270" s="19">
        <v>0</v>
      </c>
      <c r="K270" s="19">
        <v>0</v>
      </c>
      <c r="L270" s="19">
        <v>0</v>
      </c>
      <c r="M270" s="20">
        <f>IF(G270&gt;0,J270/G270,0)</f>
      </c>
    </row>
    <row r="271" ht="14.4" customHeight="1">
      <c r="A271" s="15" t="str">
        <v/>
      </c>
      <c r="B271" s="16" t="str">
        <v>00 RECURSOS ORDINARIOS</v>
      </c>
      <c r="C271" s="17" t="str">
        <v/>
      </c>
      <c r="D271" s="18">
        <v>58120</v>
      </c>
      <c r="E271" s="18">
        <v>0</v>
      </c>
      <c r="F271" s="18">
        <v>58120</v>
      </c>
      <c r="G271" s="19">
        <v>0</v>
      </c>
      <c r="H271" s="19">
        <v>0</v>
      </c>
      <c r="I271" s="19">
        <v>0</v>
      </c>
      <c r="J271" s="19">
        <v>0</v>
      </c>
      <c r="K271" s="19">
        <v>0</v>
      </c>
      <c r="L271" s="19">
        <v>0</v>
      </c>
      <c r="M271" s="20">
        <f>IF(G271&gt;0,J271/G271,0)</f>
      </c>
    </row>
    <row r="272" ht="14.4" customHeight="1">
      <c r="A272" s="21" t="str">
        <v/>
      </c>
      <c r="B272" s="22" t="str">
        <v>2.6.8.1.3.1     ELABORACION DE EXPEDIENTES TECNICOS</v>
      </c>
      <c r="C272" s="23" t="str">
        <v/>
      </c>
      <c r="D272" s="24">
        <v>58120</v>
      </c>
      <c r="E272" s="24">
        <v>0</v>
      </c>
      <c r="F272" s="24">
        <v>58120</v>
      </c>
      <c r="G272" s="25">
        <v>0</v>
      </c>
      <c r="H272" s="25">
        <v>0</v>
      </c>
      <c r="I272" s="25">
        <v>0</v>
      </c>
      <c r="J272" s="25">
        <v>0</v>
      </c>
      <c r="K272" s="25">
        <v>0</v>
      </c>
      <c r="L272" s="25">
        <v>0</v>
      </c>
      <c r="M272" s="26">
        <f>IF(G272&gt;0,J272/G272,0)</f>
      </c>
    </row>
    <row r="273" ht="14.4" customHeight="1">
      <c r="A273" s="15" t="str">
        <v>0033</v>
      </c>
      <c r="B273" s="16" t="str">
        <v>RENOVACION DE PUENTE; EN EL CAMINO VECINAL PI 834 EN EL TRAMO HUANCACARPA ALTO MONTE GRANDE (PUENTE MONTE GRANDRE), EN LA LOCALIDAD HUANCACARPA ALTO, DISTRITO DE HUANCABAMBA,HUANCABAMBA,PIURA</v>
      </c>
      <c r="C273" s="17" t="str">
        <v/>
      </c>
      <c r="D273" s="18">
        <v>13540</v>
      </c>
      <c r="E273" s="18">
        <v>0</v>
      </c>
      <c r="F273" s="18">
        <v>13540</v>
      </c>
      <c r="G273" s="19">
        <v>0</v>
      </c>
      <c r="H273" s="19">
        <v>0</v>
      </c>
      <c r="I273" s="19">
        <v>0</v>
      </c>
      <c r="J273" s="19">
        <v>0</v>
      </c>
      <c r="K273" s="19">
        <v>0</v>
      </c>
      <c r="L273" s="19">
        <v>0</v>
      </c>
      <c r="M273" s="20">
        <f>IF(G273&gt;0,J273/G273,0)</f>
      </c>
    </row>
    <row r="274" ht="14.4" customHeight="1">
      <c r="A274" s="15" t="str">
        <v/>
      </c>
      <c r="B274" s="16" t="str">
        <v>00 RECURSOS ORDINARIOS</v>
      </c>
      <c r="C274" s="17" t="str">
        <v/>
      </c>
      <c r="D274" s="18">
        <v>13540</v>
      </c>
      <c r="E274" s="18">
        <v>0</v>
      </c>
      <c r="F274" s="18">
        <v>13540</v>
      </c>
      <c r="G274" s="19">
        <v>0</v>
      </c>
      <c r="H274" s="19">
        <v>0</v>
      </c>
      <c r="I274" s="19">
        <v>0</v>
      </c>
      <c r="J274" s="19">
        <v>0</v>
      </c>
      <c r="K274" s="19">
        <v>0</v>
      </c>
      <c r="L274" s="19">
        <v>0</v>
      </c>
      <c r="M274" s="20">
        <f>IF(G274&gt;0,J274/G274,0)</f>
      </c>
    </row>
    <row r="275" ht="14.4" customHeight="1">
      <c r="A275" s="21" t="str">
        <v/>
      </c>
      <c r="B275" s="22" t="str">
        <v>2.6.2.3.2.3     COSTO DE CONSTRUCCION POR CONTRATA</v>
      </c>
      <c r="C275" s="23" t="str">
        <v/>
      </c>
      <c r="D275" s="24">
        <v>13540</v>
      </c>
      <c r="E275" s="24">
        <v>0</v>
      </c>
      <c r="F275" s="24">
        <v>13540</v>
      </c>
      <c r="G275" s="25">
        <v>0</v>
      </c>
      <c r="H275" s="25">
        <v>0</v>
      </c>
      <c r="I275" s="25">
        <v>0</v>
      </c>
      <c r="J275" s="25">
        <v>0</v>
      </c>
      <c r="K275" s="25">
        <v>0</v>
      </c>
      <c r="L275" s="25">
        <v>0</v>
      </c>
      <c r="M275" s="26">
        <f>IF(G275&gt;0,J275/G275,0)</f>
      </c>
    </row>
    <row r="276" ht="14.4" customHeight="1">
      <c r="A276" s="15" t="str">
        <v>0034</v>
      </c>
      <c r="B276" s="16" t="str">
        <v>RENOVACION DE PUENTE; EN EL CAMINO VECINAL PI 837 TRAMO LUCHO- MISHKA (PUENTE QUEBRADA HUANGAPE) EN LA LOCALIDAD LUCHO, DISTRITO DE HUANCABAMBA, HUANCABAMBA, PIURA</v>
      </c>
      <c r="C276" s="17" t="str">
        <v/>
      </c>
      <c r="D276" s="18">
        <v>27515</v>
      </c>
      <c r="E276" s="18">
        <v>0</v>
      </c>
      <c r="F276" s="18">
        <v>27515</v>
      </c>
      <c r="G276" s="19">
        <v>0</v>
      </c>
      <c r="H276" s="19">
        <v>0</v>
      </c>
      <c r="I276" s="19">
        <v>0</v>
      </c>
      <c r="J276" s="19">
        <v>0</v>
      </c>
      <c r="K276" s="19">
        <v>0</v>
      </c>
      <c r="L276" s="19">
        <v>0</v>
      </c>
      <c r="M276" s="20">
        <f>IF(G276&gt;0,J276/G276,0)</f>
      </c>
    </row>
    <row r="277" ht="14.4" customHeight="1">
      <c r="A277" s="15" t="str">
        <v/>
      </c>
      <c r="B277" s="16" t="str">
        <v>00 RECURSOS ORDINARIOS</v>
      </c>
      <c r="C277" s="17" t="str">
        <v/>
      </c>
      <c r="D277" s="18">
        <v>27515</v>
      </c>
      <c r="E277" s="18">
        <v>0</v>
      </c>
      <c r="F277" s="18">
        <v>27515</v>
      </c>
      <c r="G277" s="19">
        <v>0</v>
      </c>
      <c r="H277" s="19">
        <v>0</v>
      </c>
      <c r="I277" s="19">
        <v>0</v>
      </c>
      <c r="J277" s="19">
        <v>0</v>
      </c>
      <c r="K277" s="19">
        <v>0</v>
      </c>
      <c r="L277" s="19">
        <v>0</v>
      </c>
      <c r="M277" s="20">
        <f>IF(G277&gt;0,J277/G277,0)</f>
      </c>
    </row>
    <row r="278" ht="14.4" customHeight="1">
      <c r="A278" s="21" t="str">
        <v/>
      </c>
      <c r="B278" s="22" t="str">
        <v>2.6.2.3.2.3     COSTO DE CONSTRUCCION POR CONTRATA</v>
      </c>
      <c r="C278" s="23" t="str">
        <v/>
      </c>
      <c r="D278" s="24">
        <v>27515</v>
      </c>
      <c r="E278" s="24">
        <v>0</v>
      </c>
      <c r="F278" s="24">
        <v>27515</v>
      </c>
      <c r="G278" s="25">
        <v>0</v>
      </c>
      <c r="H278" s="25">
        <v>0</v>
      </c>
      <c r="I278" s="25">
        <v>0</v>
      </c>
      <c r="J278" s="25">
        <v>0</v>
      </c>
      <c r="K278" s="25">
        <v>0</v>
      </c>
      <c r="L278" s="25">
        <v>0</v>
      </c>
      <c r="M278" s="26">
        <f>IF(G278&gt;0,J278/G278,0)</f>
      </c>
    </row>
    <row r="279" ht="14.4" customHeight="1">
      <c r="A279" s="15" t="str">
        <v>0035</v>
      </c>
      <c r="B279" s="16" t="str">
        <v>CONSTRUCCION DE PUENTES</v>
      </c>
      <c r="C279" s="17" t="str">
        <v/>
      </c>
      <c r="D279" s="18">
        <v>363929</v>
      </c>
      <c r="E279" s="18">
        <v>0</v>
      </c>
      <c r="F279" s="18">
        <v>363929</v>
      </c>
      <c r="G279" s="19">
        <v>363929</v>
      </c>
      <c r="H279" s="19">
        <v>0</v>
      </c>
      <c r="I279" s="19">
        <v>0</v>
      </c>
      <c r="J279" s="19">
        <v>0</v>
      </c>
      <c r="K279" s="19">
        <v>0</v>
      </c>
      <c r="L279" s="19">
        <v>0</v>
      </c>
      <c r="M279" s="20">
        <f>IF(G279&gt;0,J279/G279,0)</f>
      </c>
    </row>
    <row r="280" ht="14.4" customHeight="1">
      <c r="A280" s="15" t="str">
        <v/>
      </c>
      <c r="B280" s="16" t="str">
        <v>00 RECURSOS ORDINARIOS</v>
      </c>
      <c r="C280" s="17" t="str">
        <v/>
      </c>
      <c r="D280" s="18">
        <v>363929</v>
      </c>
      <c r="E280" s="18">
        <v>0</v>
      </c>
      <c r="F280" s="18">
        <v>363929</v>
      </c>
      <c r="G280" s="19">
        <v>363929</v>
      </c>
      <c r="H280" s="19">
        <v>0</v>
      </c>
      <c r="I280" s="19">
        <v>0</v>
      </c>
      <c r="J280" s="19">
        <v>0</v>
      </c>
      <c r="K280" s="19">
        <v>0</v>
      </c>
      <c r="L280" s="19">
        <v>0</v>
      </c>
      <c r="M280" s="20">
        <f>IF(G280&gt;0,J280/G280,0)</f>
      </c>
    </row>
    <row r="281" ht="14.4" customHeight="1">
      <c r="A281" s="21" t="str">
        <v/>
      </c>
      <c r="B281" s="22" t="str">
        <v>2.6.2.3.2.3     COSTO DE CONSTRUCCION POR CONTRATA</v>
      </c>
      <c r="C281" s="23" t="str">
        <v/>
      </c>
      <c r="D281" s="24">
        <v>363929</v>
      </c>
      <c r="E281" s="24">
        <v>0</v>
      </c>
      <c r="F281" s="24">
        <v>363929</v>
      </c>
      <c r="G281" s="25">
        <v>363929</v>
      </c>
      <c r="H281" s="25">
        <v>0</v>
      </c>
      <c r="I281" s="25">
        <v>0</v>
      </c>
      <c r="J281" s="25">
        <v>0</v>
      </c>
      <c r="K281" s="25">
        <v>0</v>
      </c>
      <c r="L281" s="25">
        <v>0</v>
      </c>
      <c r="M281" s="26">
        <f>IF(G281&gt;0,J281/G281,0)</f>
      </c>
    </row>
    <row r="282" ht="14.4" customHeight="1">
      <c r="A282" s="15" t="str">
        <v/>
      </c>
      <c r="B282" s="16" t="str">
        <v>18 CANON Y SOBRECANON, REGALIAS, RENTA DE ADUANAS Y PARTICIPACIONES</v>
      </c>
      <c r="C282" s="17" t="str">
        <v/>
      </c>
      <c r="D282" s="18">
        <v>0</v>
      </c>
      <c r="E282" s="18">
        <v>0</v>
      </c>
      <c r="F282" s="18">
        <v>0</v>
      </c>
      <c r="G282" s="19">
        <v>0</v>
      </c>
      <c r="H282" s="19">
        <v>0</v>
      </c>
      <c r="I282" s="19">
        <v>0</v>
      </c>
      <c r="J282" s="19">
        <v>0</v>
      </c>
      <c r="K282" s="19">
        <v>0</v>
      </c>
      <c r="L282" s="19">
        <v>0</v>
      </c>
      <c r="M282" s="20">
        <f>IF(G282&gt;0,J282/G282,0)</f>
      </c>
    </row>
    <row r="283" ht="14.4" customHeight="1">
      <c r="A283" s="21" t="str">
        <v/>
      </c>
      <c r="B283" s="22" t="str">
        <v>2.6.2.3.2.3     COSTO DE CONSTRUCCION POR CONTRATA</v>
      </c>
      <c r="C283" s="23" t="str">
        <v/>
      </c>
      <c r="D283" s="24">
        <v>0</v>
      </c>
      <c r="E283" s="24">
        <v>0</v>
      </c>
      <c r="F283" s="24">
        <v>0</v>
      </c>
      <c r="G283" s="25">
        <v>0</v>
      </c>
      <c r="H283" s="25">
        <v>0</v>
      </c>
      <c r="I283" s="25">
        <v>0</v>
      </c>
      <c r="J283" s="25">
        <v>0</v>
      </c>
      <c r="K283" s="25">
        <v>0</v>
      </c>
      <c r="L283" s="25">
        <v>0</v>
      </c>
      <c r="M283" s="26">
        <f>IF(G283&gt;0,J283/G283,0)</f>
      </c>
    </row>
    <row r="284" ht="14.4" customHeight="1">
      <c r="A284" s="15" t="str">
        <v>0036</v>
      </c>
      <c r="B284" s="16" t="str">
        <v>REHABILITACION DE PUENTE</v>
      </c>
      <c r="C284" s="17" t="str">
        <v/>
      </c>
      <c r="D284" s="18">
        <v>330287</v>
      </c>
      <c r="E284" s="18">
        <v>230237</v>
      </c>
      <c r="F284" s="18">
        <v>560524</v>
      </c>
      <c r="G284" s="19">
        <v>0</v>
      </c>
      <c r="H284" s="19">
        <v>0</v>
      </c>
      <c r="I284" s="19">
        <v>0</v>
      </c>
      <c r="J284" s="19">
        <v>0</v>
      </c>
      <c r="K284" s="19">
        <v>0</v>
      </c>
      <c r="L284" s="19">
        <v>0</v>
      </c>
      <c r="M284" s="20">
        <f>IF(G284&gt;0,J284/G284,0)</f>
      </c>
    </row>
    <row r="285" ht="14.4" customHeight="1">
      <c r="A285" s="15" t="str">
        <v/>
      </c>
      <c r="B285" s="16" t="str">
        <v>00 RECURSOS ORDINARIOS</v>
      </c>
      <c r="C285" s="17" t="str">
        <v/>
      </c>
      <c r="D285" s="18">
        <v>330287</v>
      </c>
      <c r="E285" s="18">
        <v>0</v>
      </c>
      <c r="F285" s="18">
        <v>330287</v>
      </c>
      <c r="G285" s="19">
        <v>0</v>
      </c>
      <c r="H285" s="19">
        <v>0</v>
      </c>
      <c r="I285" s="19">
        <v>0</v>
      </c>
      <c r="J285" s="19">
        <v>0</v>
      </c>
      <c r="K285" s="19">
        <v>0</v>
      </c>
      <c r="L285" s="19">
        <v>0</v>
      </c>
      <c r="M285" s="20">
        <f>IF(G285&gt;0,J285/G285,0)</f>
      </c>
    </row>
    <row r="286" ht="14.4" customHeight="1">
      <c r="A286" s="21" t="str">
        <v/>
      </c>
      <c r="B286" s="22" t="str">
        <v>2.6.2.3.2.3     COSTO DE CONSTRUCCION POR CONTRATA</v>
      </c>
      <c r="C286" s="23" t="str">
        <v/>
      </c>
      <c r="D286" s="24">
        <v>330287</v>
      </c>
      <c r="E286" s="24">
        <v>0</v>
      </c>
      <c r="F286" s="24">
        <v>330287</v>
      </c>
      <c r="G286" s="25">
        <v>0</v>
      </c>
      <c r="H286" s="25">
        <v>0</v>
      </c>
      <c r="I286" s="25">
        <v>0</v>
      </c>
      <c r="J286" s="25">
        <v>0</v>
      </c>
      <c r="K286" s="25">
        <v>0</v>
      </c>
      <c r="L286" s="25">
        <v>0</v>
      </c>
      <c r="M286" s="26">
        <f>IF(G286&gt;0,J286/G286,0)</f>
      </c>
    </row>
    <row r="287" ht="14.4" customHeight="1">
      <c r="A287" s="15" t="str">
        <v/>
      </c>
      <c r="B287" s="16" t="str">
        <v>19 RECURSOS POR OPERACIONES OFICIALES DE CREDITO</v>
      </c>
      <c r="C287" s="17" t="str">
        <v/>
      </c>
      <c r="D287" s="18">
        <v>0</v>
      </c>
      <c r="E287" s="18">
        <v>230237</v>
      </c>
      <c r="F287" s="18">
        <v>230237</v>
      </c>
      <c r="G287" s="19">
        <v>0</v>
      </c>
      <c r="H287" s="19">
        <v>0</v>
      </c>
      <c r="I287" s="19">
        <v>0</v>
      </c>
      <c r="J287" s="19">
        <v>0</v>
      </c>
      <c r="K287" s="19">
        <v>0</v>
      </c>
      <c r="L287" s="19">
        <v>0</v>
      </c>
      <c r="M287" s="20">
        <f>IF(G287&gt;0,J287/G287,0)</f>
      </c>
    </row>
    <row r="288" ht="14.4" customHeight="1">
      <c r="A288" s="21" t="str">
        <v/>
      </c>
      <c r="B288" s="22" t="str">
        <v>2.6.2.3.2.3     COSTO DE CONSTRUCCION POR CONTRATA</v>
      </c>
      <c r="C288" s="23" t="str">
        <v/>
      </c>
      <c r="D288" s="24">
        <v>0</v>
      </c>
      <c r="E288" s="24">
        <v>230237</v>
      </c>
      <c r="F288" s="24">
        <v>230237</v>
      </c>
      <c r="G288" s="25">
        <v>0</v>
      </c>
      <c r="H288" s="25">
        <v>0</v>
      </c>
      <c r="I288" s="25">
        <v>0</v>
      </c>
      <c r="J288" s="25">
        <v>0</v>
      </c>
      <c r="K288" s="25">
        <v>0</v>
      </c>
      <c r="L288" s="25">
        <v>0</v>
      </c>
      <c r="M288" s="26">
        <f>IF(G288&gt;0,J288/G288,0)</f>
      </c>
    </row>
    <row r="289" ht="14.4" customHeight="1">
      <c r="A289" s="15" t="str">
        <v>0037</v>
      </c>
      <c r="B289" s="16" t="str">
        <v>REHABILITACION DE PUENTE</v>
      </c>
      <c r="C289" s="17" t="str">
        <v/>
      </c>
      <c r="D289" s="18">
        <v>248253</v>
      </c>
      <c r="E289" s="18">
        <v>206876</v>
      </c>
      <c r="F289" s="18">
        <v>455129</v>
      </c>
      <c r="G289" s="19">
        <v>0</v>
      </c>
      <c r="H289" s="19">
        <v>0</v>
      </c>
      <c r="I289" s="19">
        <v>110000</v>
      </c>
      <c r="J289" s="19">
        <v>55000</v>
      </c>
      <c r="K289" s="19">
        <v>55000</v>
      </c>
      <c r="L289" s="19">
        <v>55000</v>
      </c>
      <c r="M289" s="20">
        <f>IF(G289&gt;0,J289/G289,0)</f>
      </c>
    </row>
    <row r="290" ht="14.4" customHeight="1">
      <c r="A290" s="15" t="str">
        <v/>
      </c>
      <c r="B290" s="16" t="str">
        <v>00 RECURSOS ORDINARIOS</v>
      </c>
      <c r="C290" s="17" t="str">
        <v/>
      </c>
      <c r="D290" s="18">
        <v>248253</v>
      </c>
      <c r="E290" s="18">
        <v>0</v>
      </c>
      <c r="F290" s="18">
        <v>248253</v>
      </c>
      <c r="G290" s="19">
        <v>0</v>
      </c>
      <c r="H290" s="19">
        <v>0</v>
      </c>
      <c r="I290" s="19">
        <v>110000</v>
      </c>
      <c r="J290" s="19">
        <v>55000</v>
      </c>
      <c r="K290" s="19">
        <v>55000</v>
      </c>
      <c r="L290" s="19">
        <v>55000</v>
      </c>
      <c r="M290" s="20">
        <f>IF(G290&gt;0,J290/G290,0)</f>
      </c>
    </row>
    <row r="291" ht="14.4" customHeight="1">
      <c r="A291" s="21" t="str">
        <v/>
      </c>
      <c r="B291" s="22" t="str">
        <v>2.6.2.3.2.3     COSTO DE CONSTRUCCION POR CONTRATA</v>
      </c>
      <c r="C291" s="23" t="str">
        <v/>
      </c>
      <c r="D291" s="24">
        <v>248253</v>
      </c>
      <c r="E291" s="24">
        <v>-110000</v>
      </c>
      <c r="F291" s="24">
        <v>138253</v>
      </c>
      <c r="G291" s="25">
        <v>0</v>
      </c>
      <c r="H291" s="25">
        <v>0</v>
      </c>
      <c r="I291" s="25">
        <v>0</v>
      </c>
      <c r="J291" s="25">
        <v>0</v>
      </c>
      <c r="K291" s="25">
        <v>0</v>
      </c>
      <c r="L291" s="25">
        <v>0</v>
      </c>
      <c r="M291" s="26">
        <f>IF(G291&gt;0,J291/G291,0)</f>
      </c>
    </row>
    <row r="292" ht="14.4" customHeight="1">
      <c r="A292" s="21" t="str">
        <v/>
      </c>
      <c r="B292" s="22" t="str">
        <v>2.6.8.1.3.1     ELABORACION DE EXPEDIENTES TECNICOS</v>
      </c>
      <c r="C292" s="23" t="str">
        <v/>
      </c>
      <c r="D292" s="24">
        <v>0</v>
      </c>
      <c r="E292" s="24">
        <v>110000</v>
      </c>
      <c r="F292" s="24">
        <v>110000</v>
      </c>
      <c r="G292" s="25">
        <v>0</v>
      </c>
      <c r="H292" s="25">
        <v>0</v>
      </c>
      <c r="I292" s="25">
        <v>110000</v>
      </c>
      <c r="J292" s="25">
        <v>55000</v>
      </c>
      <c r="K292" s="25">
        <v>55000</v>
      </c>
      <c r="L292" s="25">
        <v>55000</v>
      </c>
      <c r="M292" s="26">
        <f>IF(G292&gt;0,J292/G292,0)</f>
      </c>
    </row>
    <row r="293" ht="14.4" customHeight="1">
      <c r="A293" s="15" t="str">
        <v/>
      </c>
      <c r="B293" s="16" t="str">
        <v>19 RECURSOS POR OPERACIONES OFICIALES DE CREDITO</v>
      </c>
      <c r="C293" s="17" t="str">
        <v/>
      </c>
      <c r="D293" s="18">
        <v>0</v>
      </c>
      <c r="E293" s="18">
        <v>206876</v>
      </c>
      <c r="F293" s="18">
        <v>206876</v>
      </c>
      <c r="G293" s="19">
        <v>0</v>
      </c>
      <c r="H293" s="19">
        <v>0</v>
      </c>
      <c r="I293" s="19">
        <v>0</v>
      </c>
      <c r="J293" s="19">
        <v>0</v>
      </c>
      <c r="K293" s="19">
        <v>0</v>
      </c>
      <c r="L293" s="19">
        <v>0</v>
      </c>
      <c r="M293" s="20">
        <f>IF(G293&gt;0,J293/G293,0)</f>
      </c>
    </row>
    <row r="294" ht="14.4" customHeight="1">
      <c r="A294" s="21" t="str">
        <v/>
      </c>
      <c r="B294" s="22" t="str">
        <v>2.6.2.3.2.3     COSTO DE CONSTRUCCION POR CONTRATA</v>
      </c>
      <c r="C294" s="23" t="str">
        <v/>
      </c>
      <c r="D294" s="24">
        <v>0</v>
      </c>
      <c r="E294" s="24">
        <v>206876</v>
      </c>
      <c r="F294" s="24">
        <v>206876</v>
      </c>
      <c r="G294" s="25">
        <v>0</v>
      </c>
      <c r="H294" s="25">
        <v>0</v>
      </c>
      <c r="I294" s="25">
        <v>0</v>
      </c>
      <c r="J294" s="25">
        <v>0</v>
      </c>
      <c r="K294" s="25">
        <v>0</v>
      </c>
      <c r="L294" s="25">
        <v>0</v>
      </c>
      <c r="M294" s="26">
        <f>IF(G294&gt;0,J294/G294,0)</f>
      </c>
    </row>
    <row r="295" ht="14.4" customHeight="1">
      <c r="A295" s="15" t="str">
        <v>0038</v>
      </c>
      <c r="B295" s="16" t="str">
        <v>REHABILITACION DE PUENTE</v>
      </c>
      <c r="C295" s="17" t="str">
        <v/>
      </c>
      <c r="D295" s="18">
        <v>240115</v>
      </c>
      <c r="E295" s="18">
        <v>200094</v>
      </c>
      <c r="F295" s="18">
        <v>440209</v>
      </c>
      <c r="G295" s="19">
        <v>0</v>
      </c>
      <c r="H295" s="19">
        <v>0</v>
      </c>
      <c r="I295" s="19">
        <v>0</v>
      </c>
      <c r="J295" s="19">
        <v>0</v>
      </c>
      <c r="K295" s="19">
        <v>0</v>
      </c>
      <c r="L295" s="19">
        <v>0</v>
      </c>
      <c r="M295" s="20">
        <f>IF(G295&gt;0,J295/G295,0)</f>
      </c>
    </row>
    <row r="296" ht="14.4" customHeight="1">
      <c r="A296" s="15" t="str">
        <v/>
      </c>
      <c r="B296" s="16" t="str">
        <v>00 RECURSOS ORDINARIOS</v>
      </c>
      <c r="C296" s="17" t="str">
        <v/>
      </c>
      <c r="D296" s="18">
        <v>240115</v>
      </c>
      <c r="E296" s="18">
        <v>0</v>
      </c>
      <c r="F296" s="18">
        <v>240115</v>
      </c>
      <c r="G296" s="19">
        <v>0</v>
      </c>
      <c r="H296" s="19">
        <v>0</v>
      </c>
      <c r="I296" s="19">
        <v>0</v>
      </c>
      <c r="J296" s="19">
        <v>0</v>
      </c>
      <c r="K296" s="19">
        <v>0</v>
      </c>
      <c r="L296" s="19">
        <v>0</v>
      </c>
      <c r="M296" s="20">
        <f>IF(G296&gt;0,J296/G296,0)</f>
      </c>
    </row>
    <row r="297" ht="14.4" customHeight="1">
      <c r="A297" s="21" t="str">
        <v/>
      </c>
      <c r="B297" s="22" t="str">
        <v>2.6.2.3.2.3     COSTO DE CONSTRUCCION POR CONTRATA</v>
      </c>
      <c r="C297" s="23" t="str">
        <v/>
      </c>
      <c r="D297" s="24">
        <v>240115</v>
      </c>
      <c r="E297" s="24">
        <v>-156000</v>
      </c>
      <c r="F297" s="24">
        <v>84115</v>
      </c>
      <c r="G297" s="25">
        <v>0</v>
      </c>
      <c r="H297" s="25">
        <v>0</v>
      </c>
      <c r="I297" s="25">
        <v>0</v>
      </c>
      <c r="J297" s="25">
        <v>0</v>
      </c>
      <c r="K297" s="25">
        <v>0</v>
      </c>
      <c r="L297" s="25">
        <v>0</v>
      </c>
      <c r="M297" s="26">
        <f>IF(G297&gt;0,J297/G297,0)</f>
      </c>
    </row>
    <row r="298" ht="14.4" customHeight="1">
      <c r="A298" s="21" t="str">
        <v/>
      </c>
      <c r="B298" s="22" t="str">
        <v>2.6.8.1.3.1     ELABORACION DE EXPEDIENTES TECNICOS</v>
      </c>
      <c r="C298" s="23" t="str">
        <v/>
      </c>
      <c r="D298" s="24">
        <v>0</v>
      </c>
      <c r="E298" s="24">
        <v>156000</v>
      </c>
      <c r="F298" s="24">
        <v>156000</v>
      </c>
      <c r="G298" s="25">
        <v>0</v>
      </c>
      <c r="H298" s="25">
        <v>0</v>
      </c>
      <c r="I298" s="25">
        <v>0</v>
      </c>
      <c r="J298" s="25">
        <v>0</v>
      </c>
      <c r="K298" s="25">
        <v>0</v>
      </c>
      <c r="L298" s="25">
        <v>0</v>
      </c>
      <c r="M298" s="26">
        <f>IF(G298&gt;0,J298/G298,0)</f>
      </c>
    </row>
    <row r="299" ht="14.4" customHeight="1">
      <c r="A299" s="15" t="str">
        <v/>
      </c>
      <c r="B299" s="16" t="str">
        <v>19 RECURSOS POR OPERACIONES OFICIALES DE CREDITO</v>
      </c>
      <c r="C299" s="17" t="str">
        <v/>
      </c>
      <c r="D299" s="18">
        <v>0</v>
      </c>
      <c r="E299" s="18">
        <v>200094</v>
      </c>
      <c r="F299" s="18">
        <v>200094</v>
      </c>
      <c r="G299" s="19">
        <v>0</v>
      </c>
      <c r="H299" s="19">
        <v>0</v>
      </c>
      <c r="I299" s="19">
        <v>0</v>
      </c>
      <c r="J299" s="19">
        <v>0</v>
      </c>
      <c r="K299" s="19">
        <v>0</v>
      </c>
      <c r="L299" s="19">
        <v>0</v>
      </c>
      <c r="M299" s="20">
        <f>IF(G299&gt;0,J299/G299,0)</f>
      </c>
    </row>
    <row r="300" ht="14.4" customHeight="1">
      <c r="A300" s="21" t="str">
        <v/>
      </c>
      <c r="B300" s="22" t="str">
        <v>2.6.2.3.2.3     COSTO DE CONSTRUCCION POR CONTRATA</v>
      </c>
      <c r="C300" s="23" t="str">
        <v/>
      </c>
      <c r="D300" s="24">
        <v>0</v>
      </c>
      <c r="E300" s="24">
        <v>200094</v>
      </c>
      <c r="F300" s="24">
        <v>200094</v>
      </c>
      <c r="G300" s="25">
        <v>0</v>
      </c>
      <c r="H300" s="25">
        <v>0</v>
      </c>
      <c r="I300" s="25">
        <v>0</v>
      </c>
      <c r="J300" s="25">
        <v>0</v>
      </c>
      <c r="K300" s="25">
        <v>0</v>
      </c>
      <c r="L300" s="25">
        <v>0</v>
      </c>
      <c r="M300" s="26">
        <f>IF(G300&gt;0,J300/G300,0)</f>
      </c>
    </row>
    <row r="301" ht="14.4" customHeight="1">
      <c r="A301" s="15" t="str">
        <v>0039</v>
      </c>
      <c r="B301" s="16" t="str">
        <v>MANTENIMIENTO RUTINARIO DE CAMINOS VECINALES NO PAVIMENTADOS</v>
      </c>
      <c r="C301" s="17" t="str">
        <v/>
      </c>
      <c r="D301" s="18">
        <v>924794</v>
      </c>
      <c r="E301" s="18">
        <v>-685811</v>
      </c>
      <c r="F301" s="18">
        <v>238983</v>
      </c>
      <c r="G301" s="19">
        <v>-32780</v>
      </c>
      <c r="H301" s="19">
        <v>0</v>
      </c>
      <c r="I301" s="19">
        <v>0</v>
      </c>
      <c r="J301" s="19">
        <v>0</v>
      </c>
      <c r="K301" s="19">
        <v>0</v>
      </c>
      <c r="L301" s="19">
        <v>0</v>
      </c>
      <c r="M301" s="20">
        <f>IF(G301&gt;0,J301/G301,0)</f>
      </c>
    </row>
    <row r="302" ht="14.4" customHeight="1">
      <c r="A302" s="15" t="str">
        <v/>
      </c>
      <c r="B302" s="16" t="str">
        <v>00 RECURSOS ORDINARIOS</v>
      </c>
      <c r="C302" s="17" t="str">
        <v/>
      </c>
      <c r="D302" s="18">
        <v>739794</v>
      </c>
      <c r="E302" s="18">
        <v>-739794</v>
      </c>
      <c r="F302" s="18">
        <v>0</v>
      </c>
      <c r="G302" s="19">
        <v>0</v>
      </c>
      <c r="H302" s="19">
        <v>0</v>
      </c>
      <c r="I302" s="19">
        <v>0</v>
      </c>
      <c r="J302" s="19">
        <v>0</v>
      </c>
      <c r="K302" s="19">
        <v>0</v>
      </c>
      <c r="L302" s="19">
        <v>0</v>
      </c>
      <c r="M302" s="20">
        <f>IF(G302&gt;0,J302/G302,0)</f>
      </c>
    </row>
    <row r="303" ht="14.4" customHeight="1">
      <c r="A303" s="21" t="str">
        <v/>
      </c>
      <c r="B303" s="22" t="str">
        <v>2.3.2.4.3.1     DE CARRETERAS, CAMINOS Y PUENTES  NO CONCESIONADOS</v>
      </c>
      <c r="C303" s="23" t="str">
        <v/>
      </c>
      <c r="D303" s="24">
        <v>739794</v>
      </c>
      <c r="E303" s="24">
        <v>-739794</v>
      </c>
      <c r="F303" s="24">
        <v>0</v>
      </c>
      <c r="G303" s="25">
        <v>0</v>
      </c>
      <c r="H303" s="25">
        <v>0</v>
      </c>
      <c r="I303" s="25">
        <v>0</v>
      </c>
      <c r="J303" s="25">
        <v>0</v>
      </c>
      <c r="K303" s="25">
        <v>0</v>
      </c>
      <c r="L303" s="25">
        <v>0</v>
      </c>
      <c r="M303" s="26">
        <f>IF(G303&gt;0,J303/G303,0)</f>
      </c>
    </row>
    <row r="304" ht="14.4" customHeight="1">
      <c r="A304" s="15" t="str">
        <v/>
      </c>
      <c r="B304" s="16" t="str">
        <v>07 FONDO DE COMPENSACION MUNICIPAL</v>
      </c>
      <c r="C304" s="17" t="str">
        <v/>
      </c>
      <c r="D304" s="18">
        <v>0</v>
      </c>
      <c r="E304" s="18">
        <v>205947</v>
      </c>
      <c r="F304" s="18">
        <v>205947</v>
      </c>
      <c r="G304" s="19">
        <v>-32780</v>
      </c>
      <c r="H304" s="19">
        <v>0</v>
      </c>
      <c r="I304" s="19">
        <v>0</v>
      </c>
      <c r="J304" s="19">
        <v>0</v>
      </c>
      <c r="K304" s="19">
        <v>0</v>
      </c>
      <c r="L304" s="19">
        <v>0</v>
      </c>
      <c r="M304" s="20">
        <f>IF(G304&gt;0,J304/G304,0)</f>
      </c>
    </row>
    <row r="305" ht="14.4" customHeight="1">
      <c r="A305" s="21" t="str">
        <v/>
      </c>
      <c r="B305" s="22" t="str">
        <v>2.3.1.3.1.1     COMBUSTIBLES Y CARBURANTES</v>
      </c>
      <c r="C305" s="23" t="str">
        <v/>
      </c>
      <c r="D305" s="24">
        <v>0</v>
      </c>
      <c r="E305" s="24">
        <v>205947</v>
      </c>
      <c r="F305" s="24">
        <v>205947</v>
      </c>
      <c r="G305" s="25">
        <v>-32780</v>
      </c>
      <c r="H305" s="25">
        <v>0</v>
      </c>
      <c r="I305" s="25">
        <v>0</v>
      </c>
      <c r="J305" s="25">
        <v>0</v>
      </c>
      <c r="K305" s="25">
        <v>0</v>
      </c>
      <c r="L305" s="25">
        <v>0</v>
      </c>
      <c r="M305" s="26">
        <f>IF(G305&gt;0,J305/G305,0)</f>
      </c>
    </row>
    <row r="306" ht="14.4" customHeight="1">
      <c r="A306" s="21" t="str">
        <v/>
      </c>
      <c r="B306" s="22" t="str">
        <v>2.3.1.3.1.3     LUBRICANTES, GRASAS Y AFINES</v>
      </c>
      <c r="C306" s="23" t="str">
        <v/>
      </c>
      <c r="D306" s="24">
        <v>0</v>
      </c>
      <c r="E306" s="24">
        <v>0</v>
      </c>
      <c r="F306" s="24">
        <v>0</v>
      </c>
      <c r="G306" s="25">
        <v>0</v>
      </c>
      <c r="H306" s="25">
        <v>0</v>
      </c>
      <c r="I306" s="25">
        <v>0</v>
      </c>
      <c r="J306" s="25">
        <v>0</v>
      </c>
      <c r="K306" s="25">
        <v>0</v>
      </c>
      <c r="L306" s="25">
        <v>0</v>
      </c>
      <c r="M306" s="26">
        <f>IF(G306&gt;0,J306/G306,0)</f>
      </c>
    </row>
    <row r="307" ht="14.4" customHeight="1">
      <c r="A307" s="15" t="str">
        <v/>
      </c>
      <c r="B307" s="16" t="str">
        <v>18 CANON Y SOBRECANON, REGALIAS, RENTA DE ADUANAS Y PARTICIPACIONES</v>
      </c>
      <c r="C307" s="17" t="str">
        <v/>
      </c>
      <c r="D307" s="18">
        <v>185000</v>
      </c>
      <c r="E307" s="18">
        <v>-151964</v>
      </c>
      <c r="F307" s="18">
        <v>33036</v>
      </c>
      <c r="G307" s="19">
        <v>0</v>
      </c>
      <c r="H307" s="19">
        <v>0</v>
      </c>
      <c r="I307" s="19">
        <v>0</v>
      </c>
      <c r="J307" s="19">
        <v>0</v>
      </c>
      <c r="K307" s="19">
        <v>0</v>
      </c>
      <c r="L307" s="19">
        <v>0</v>
      </c>
      <c r="M307" s="20">
        <f>IF(G307&gt;0,J307/G307,0)</f>
      </c>
    </row>
    <row r="308" ht="14.4" customHeight="1">
      <c r="A308" s="21" t="str">
        <v/>
      </c>
      <c r="B308" s="22" t="str">
        <v>2.3.1.3.1.1     COMBUSTIBLES Y CARBURANTES</v>
      </c>
      <c r="C308" s="23" t="str">
        <v/>
      </c>
      <c r="D308" s="24">
        <v>94960</v>
      </c>
      <c r="E308" s="24">
        <v>-94960</v>
      </c>
      <c r="F308" s="24">
        <v>0</v>
      </c>
      <c r="G308" s="25">
        <v>0</v>
      </c>
      <c r="H308" s="25">
        <v>0</v>
      </c>
      <c r="I308" s="25">
        <v>0</v>
      </c>
      <c r="J308" s="25">
        <v>0</v>
      </c>
      <c r="K308" s="25">
        <v>0</v>
      </c>
      <c r="L308" s="25">
        <v>0</v>
      </c>
      <c r="M308" s="26">
        <f>IF(G308&gt;0,J308/G308,0)</f>
      </c>
    </row>
    <row r="309" ht="14.4" customHeight="1">
      <c r="A309" s="21" t="str">
        <v/>
      </c>
      <c r="B309" s="22" t="str">
        <v>2.3.1.3.1.3     LUBRICANTES, GRASAS Y AFINES</v>
      </c>
      <c r="C309" s="23" t="str">
        <v/>
      </c>
      <c r="D309" s="24">
        <v>5000</v>
      </c>
      <c r="E309" s="24">
        <v>-5000</v>
      </c>
      <c r="F309" s="24">
        <v>0</v>
      </c>
      <c r="G309" s="25">
        <v>0</v>
      </c>
      <c r="H309" s="25">
        <v>0</v>
      </c>
      <c r="I309" s="25">
        <v>0</v>
      </c>
      <c r="J309" s="25">
        <v>0</v>
      </c>
      <c r="K309" s="25">
        <v>0</v>
      </c>
      <c r="L309" s="25">
        <v>0</v>
      </c>
      <c r="M309" s="26">
        <f>IF(G309&gt;0,J309/G309,0)</f>
      </c>
    </row>
    <row r="310" ht="14.4" customHeight="1">
      <c r="A310" s="21" t="str">
        <v/>
      </c>
      <c r="B310" s="22" t="str">
        <v>2.3.2.5.1.4     DE MAQUINARIAS Y EQUIPOS</v>
      </c>
      <c r="C310" s="23" t="str">
        <v/>
      </c>
      <c r="D310" s="24">
        <v>22000</v>
      </c>
      <c r="E310" s="24">
        <v>-22000</v>
      </c>
      <c r="F310" s="24">
        <v>0</v>
      </c>
      <c r="G310" s="25">
        <v>0</v>
      </c>
      <c r="H310" s="25">
        <v>0</v>
      </c>
      <c r="I310" s="25">
        <v>0</v>
      </c>
      <c r="J310" s="25">
        <v>0</v>
      </c>
      <c r="K310" s="25">
        <v>0</v>
      </c>
      <c r="L310" s="25">
        <v>0</v>
      </c>
      <c r="M310" s="26">
        <f>IF(G310&gt;0,J310/G310,0)</f>
      </c>
    </row>
    <row r="311" ht="14.4" customHeight="1">
      <c r="A311" s="21" t="str">
        <v/>
      </c>
      <c r="B311" s="22" t="str">
        <v>2.3.2.7.13.98     OTROS SERVICIOS TÉCNICOS Y PROFESIONALES DESARROLLADOS POR PERSONAS JURÍDICAS</v>
      </c>
      <c r="C311" s="23" t="str">
        <v/>
      </c>
      <c r="D311" s="24">
        <v>33040</v>
      </c>
      <c r="E311" s="24">
        <v>-33040</v>
      </c>
      <c r="F311" s="24">
        <v>0</v>
      </c>
      <c r="G311" s="25">
        <v>0</v>
      </c>
      <c r="H311" s="25">
        <v>0</v>
      </c>
      <c r="I311" s="25">
        <v>0</v>
      </c>
      <c r="J311" s="25">
        <v>0</v>
      </c>
      <c r="K311" s="25">
        <v>0</v>
      </c>
      <c r="L311" s="25">
        <v>0</v>
      </c>
      <c r="M311" s="26">
        <f>IF(G311&gt;0,J311/G311,0)</f>
      </c>
    </row>
    <row r="312" ht="14.4" customHeight="1">
      <c r="A312" s="21" t="str">
        <v/>
      </c>
      <c r="B312" s="22" t="str">
        <v>2.3.2.7.14.98     OTROS SERVICIOS TÉCNICOS Y PROFESIONALES DESARROLLADOS POR PERSONAS NATURALES</v>
      </c>
      <c r="C312" s="23" t="str">
        <v/>
      </c>
      <c r="D312" s="24">
        <v>30000</v>
      </c>
      <c r="E312" s="24">
        <v>3036</v>
      </c>
      <c r="F312" s="24">
        <v>33036</v>
      </c>
      <c r="G312" s="25">
        <v>0</v>
      </c>
      <c r="H312" s="25">
        <v>0</v>
      </c>
      <c r="I312" s="25">
        <v>0</v>
      </c>
      <c r="J312" s="25">
        <v>0</v>
      </c>
      <c r="K312" s="25">
        <v>0</v>
      </c>
      <c r="L312" s="25">
        <v>0</v>
      </c>
      <c r="M312" s="26">
        <f>IF(G312&gt;0,J312/G312,0)</f>
      </c>
    </row>
    <row r="313" ht="14.4" customHeight="1">
      <c r="A313" s="15" t="str">
        <v>0040</v>
      </c>
      <c r="B313" s="16" t="str">
        <v>FAMILIAS SALUDABLES CON CONOCIMIENTOS PARA EL CUIDADO INFANTIL, LACTANCIA MATERNA EXCLUSIVA Y LA ADECUADA ALIMENTACION Y PROTECCION DEL MENOR DE 36 MESES</v>
      </c>
      <c r="C313" s="17" t="str">
        <v/>
      </c>
      <c r="D313" s="18">
        <v>100000</v>
      </c>
      <c r="E313" s="18">
        <v>0</v>
      </c>
      <c r="F313" s="18">
        <v>100000</v>
      </c>
      <c r="G313" s="19">
        <v>0</v>
      </c>
      <c r="H313" s="19">
        <v>0</v>
      </c>
      <c r="I313" s="19">
        <v>0</v>
      </c>
      <c r="J313" s="19">
        <v>0</v>
      </c>
      <c r="K313" s="19">
        <v>0</v>
      </c>
      <c r="L313" s="19">
        <v>0</v>
      </c>
      <c r="M313" s="20">
        <f>IF(G313&gt;0,J313/G313,0)</f>
      </c>
    </row>
    <row r="314" ht="14.4" customHeight="1">
      <c r="A314" s="15" t="str">
        <v/>
      </c>
      <c r="B314" s="16" t="str">
        <v>07 FONDO DE COMPENSACION MUNICIPAL</v>
      </c>
      <c r="C314" s="17" t="str">
        <v/>
      </c>
      <c r="D314" s="18">
        <v>100000</v>
      </c>
      <c r="E314" s="18">
        <v>0</v>
      </c>
      <c r="F314" s="18">
        <v>100000</v>
      </c>
      <c r="G314" s="19">
        <v>0</v>
      </c>
      <c r="H314" s="19">
        <v>0</v>
      </c>
      <c r="I314" s="19">
        <v>0</v>
      </c>
      <c r="J314" s="19">
        <v>0</v>
      </c>
      <c r="K314" s="19">
        <v>0</v>
      </c>
      <c r="L314" s="19">
        <v>0</v>
      </c>
      <c r="M314" s="20">
        <f>IF(G314&gt;0,J314/G314,0)</f>
      </c>
    </row>
    <row r="315" ht="14.4" customHeight="1">
      <c r="A315" s="21" t="str">
        <v/>
      </c>
      <c r="B315" s="22" t="str">
        <v>2.3.2.5.1.2     DE VEHICULOS</v>
      </c>
      <c r="C315" s="23" t="str">
        <v/>
      </c>
      <c r="D315" s="24">
        <v>0</v>
      </c>
      <c r="E315" s="24">
        <v>10000</v>
      </c>
      <c r="F315" s="24">
        <v>10000</v>
      </c>
      <c r="G315" s="25">
        <v>0</v>
      </c>
      <c r="H315" s="25">
        <v>0</v>
      </c>
      <c r="I315" s="25">
        <v>0</v>
      </c>
      <c r="J315" s="25">
        <v>0</v>
      </c>
      <c r="K315" s="25">
        <v>0</v>
      </c>
      <c r="L315" s="25">
        <v>0</v>
      </c>
      <c r="M315" s="26">
        <f>IF(G315&gt;0,J315/G315,0)</f>
      </c>
    </row>
    <row r="316" ht="14.4" customHeight="1">
      <c r="A316" s="21" t="str">
        <v/>
      </c>
      <c r="B316" s="22" t="str">
        <v>2.3.2.7.11.2     TRANSPORTE Y TRASLADO DE CARGA, BIENES Y MATERIALES</v>
      </c>
      <c r="C316" s="23" t="str">
        <v/>
      </c>
      <c r="D316" s="24">
        <v>2000</v>
      </c>
      <c r="E316" s="24">
        <v>-2000</v>
      </c>
      <c r="F316" s="24">
        <v>0</v>
      </c>
      <c r="G316" s="25">
        <v>0</v>
      </c>
      <c r="H316" s="25">
        <v>0</v>
      </c>
      <c r="I316" s="25">
        <v>0</v>
      </c>
      <c r="J316" s="25">
        <v>0</v>
      </c>
      <c r="K316" s="25">
        <v>0</v>
      </c>
      <c r="L316" s="25">
        <v>0</v>
      </c>
      <c r="M316" s="26">
        <f>IF(G316&gt;0,J316/G316,0)</f>
      </c>
    </row>
    <row r="317" ht="14.4" customHeight="1">
      <c r="A317" s="21" t="str">
        <v/>
      </c>
      <c r="B317" s="22" t="str">
        <v>2.3.2.7.11.5     SERVICIOS DE ALIMENTACION DE CONSUMO HUMANO</v>
      </c>
      <c r="C317" s="23" t="str">
        <v/>
      </c>
      <c r="D317" s="24">
        <v>21280</v>
      </c>
      <c r="E317" s="24">
        <v>0</v>
      </c>
      <c r="F317" s="24">
        <v>21280</v>
      </c>
      <c r="G317" s="25">
        <v>0</v>
      </c>
      <c r="H317" s="25">
        <v>0</v>
      </c>
      <c r="I317" s="25">
        <v>0</v>
      </c>
      <c r="J317" s="25">
        <v>0</v>
      </c>
      <c r="K317" s="25">
        <v>0</v>
      </c>
      <c r="L317" s="25">
        <v>0</v>
      </c>
      <c r="M317" s="26">
        <f>IF(G317&gt;0,J317/G317,0)</f>
      </c>
    </row>
    <row r="318" ht="14.4" customHeight="1">
      <c r="A318" s="21" t="str">
        <v/>
      </c>
      <c r="B318" s="22" t="str">
        <v>2.3.2.7.11.6     SERVICIO DE IMPRESIONES, ENCUADERNACION Y EMPASTADO</v>
      </c>
      <c r="C318" s="23" t="str">
        <v/>
      </c>
      <c r="D318" s="24">
        <v>10300</v>
      </c>
      <c r="E318" s="24">
        <v>-8000</v>
      </c>
      <c r="F318" s="24">
        <v>2300</v>
      </c>
      <c r="G318" s="25">
        <v>0</v>
      </c>
      <c r="H318" s="25">
        <v>0</v>
      </c>
      <c r="I318" s="25">
        <v>0</v>
      </c>
      <c r="J318" s="25">
        <v>0</v>
      </c>
      <c r="K318" s="25">
        <v>0</v>
      </c>
      <c r="L318" s="25">
        <v>0</v>
      </c>
      <c r="M318" s="26">
        <f>IF(G318&gt;0,J318/G318,0)</f>
      </c>
    </row>
    <row r="319" ht="14.4" customHeight="1">
      <c r="A319" s="21" t="str">
        <v/>
      </c>
      <c r="B319" s="22" t="str">
        <v>2.3.2.7.11.99     SERVICIOS DIVERSOS</v>
      </c>
      <c r="C319" s="23" t="str">
        <v/>
      </c>
      <c r="D319" s="24">
        <v>66420</v>
      </c>
      <c r="E319" s="24">
        <v>0</v>
      </c>
      <c r="F319" s="24">
        <v>66420</v>
      </c>
      <c r="G319" s="25">
        <v>0</v>
      </c>
      <c r="H319" s="25">
        <v>0</v>
      </c>
      <c r="I319" s="25">
        <v>0</v>
      </c>
      <c r="J319" s="25">
        <v>0</v>
      </c>
      <c r="K319" s="25">
        <v>0</v>
      </c>
      <c r="L319" s="25">
        <v>0</v>
      </c>
      <c r="M319" s="26">
        <f>IF(G319&gt;0,J319/G319,0)</f>
      </c>
    </row>
    <row r="320" ht="14.4" customHeight="1">
      <c r="A320" s="15" t="str">
        <v>0041</v>
      </c>
      <c r="B320" s="16" t="str">
        <v>ACCIONES DE LOS MUNICIPIOS QUE PROMUEVEN EL CUIDADO INFANTIL Y LA ADECUADA ALIMENTACION</v>
      </c>
      <c r="C320" s="17" t="str">
        <v/>
      </c>
      <c r="D320" s="18">
        <v>147675</v>
      </c>
      <c r="E320" s="18">
        <v>0</v>
      </c>
      <c r="F320" s="18">
        <v>147675</v>
      </c>
      <c r="G320" s="19">
        <v>144384</v>
      </c>
      <c r="H320" s="19">
        <v>0</v>
      </c>
      <c r="I320" s="19">
        <v>0</v>
      </c>
      <c r="J320" s="19">
        <v>0</v>
      </c>
      <c r="K320" s="19">
        <v>0</v>
      </c>
      <c r="L320" s="19">
        <v>0</v>
      </c>
      <c r="M320" s="20">
        <f>IF(G320&gt;0,J320/G320,0)</f>
      </c>
    </row>
    <row r="321" ht="14.4" customHeight="1">
      <c r="A321" s="15" t="str">
        <v/>
      </c>
      <c r="B321" s="16" t="str">
        <v>00 RECURSOS ORDINARIOS</v>
      </c>
      <c r="C321" s="17" t="str">
        <v/>
      </c>
      <c r="D321" s="18">
        <v>147675</v>
      </c>
      <c r="E321" s="18">
        <v>0</v>
      </c>
      <c r="F321" s="18">
        <v>147675</v>
      </c>
      <c r="G321" s="19">
        <v>144384</v>
      </c>
      <c r="H321" s="19">
        <v>0</v>
      </c>
      <c r="I321" s="19">
        <v>0</v>
      </c>
      <c r="J321" s="19">
        <v>0</v>
      </c>
      <c r="K321" s="19">
        <v>0</v>
      </c>
      <c r="L321" s="19">
        <v>0</v>
      </c>
      <c r="M321" s="20">
        <f>IF(G321&gt;0,J321/G321,0)</f>
      </c>
    </row>
    <row r="322" ht="14.4" customHeight="1">
      <c r="A322" s="21" t="str">
        <v/>
      </c>
      <c r="B322" s="22" t="str">
        <v>2.3.2.7.11.5     SERVICIOS DE ALIMENTACION DE CONSUMO HUMANO</v>
      </c>
      <c r="C322" s="23" t="str">
        <v/>
      </c>
      <c r="D322" s="24">
        <v>3291</v>
      </c>
      <c r="E322" s="24">
        <v>0</v>
      </c>
      <c r="F322" s="24">
        <v>3291</v>
      </c>
      <c r="G322" s="25">
        <v>0</v>
      </c>
      <c r="H322" s="25">
        <v>0</v>
      </c>
      <c r="I322" s="25">
        <v>0</v>
      </c>
      <c r="J322" s="25">
        <v>0</v>
      </c>
      <c r="K322" s="25">
        <v>0</v>
      </c>
      <c r="L322" s="25">
        <v>0</v>
      </c>
      <c r="M322" s="26">
        <f>IF(G322&gt;0,J322/G322,0)</f>
      </c>
    </row>
    <row r="323" ht="14.4" customHeight="1">
      <c r="A323" s="21" t="str">
        <v/>
      </c>
      <c r="B323" s="22" t="str">
        <v>2.3.2.7.5.9     ASIGNACIÓN DE PROPINAS O ESTIPENDIOS PARA EL CUMPLIMIENTO DE METAS SOCIALES</v>
      </c>
      <c r="C323" s="23" t="str">
        <v/>
      </c>
      <c r="D323" s="24">
        <v>144384</v>
      </c>
      <c r="E323" s="24">
        <v>0</v>
      </c>
      <c r="F323" s="24">
        <v>144384</v>
      </c>
      <c r="G323" s="25">
        <v>144384</v>
      </c>
      <c r="H323" s="25">
        <v>0</v>
      </c>
      <c r="I323" s="25">
        <v>0</v>
      </c>
      <c r="J323" s="25">
        <v>0</v>
      </c>
      <c r="K323" s="25">
        <v>0</v>
      </c>
      <c r="L323" s="25">
        <v>0</v>
      </c>
      <c r="M323" s="26">
        <f>IF(G323&gt;0,J323/G323,0)</f>
      </c>
    </row>
    <row r="324" ht="14.4" customHeight="1">
      <c r="A324" s="15" t="str">
        <v>0042</v>
      </c>
      <c r="B324" s="16" t="str">
        <v>PLANEAMIENTO Y PRESUPUESTO</v>
      </c>
      <c r="C324" s="17" t="str">
        <v/>
      </c>
      <c r="D324" s="18">
        <v>517008</v>
      </c>
      <c r="E324" s="18">
        <v>52890</v>
      </c>
      <c r="F324" s="18">
        <v>569898</v>
      </c>
      <c r="G324" s="19">
        <v>145651.66</v>
      </c>
      <c r="H324" s="19">
        <v>23641.66</v>
      </c>
      <c r="I324" s="19">
        <v>118098.36</v>
      </c>
      <c r="J324" s="19">
        <v>115098.36</v>
      </c>
      <c r="K324" s="19">
        <v>115098.36</v>
      </c>
      <c r="L324" s="19">
        <v>115098.36</v>
      </c>
      <c r="M324" s="20">
        <f>IF(G324&gt;0,J324/G324,0)</f>
      </c>
    </row>
    <row r="325" ht="14.4" customHeight="1">
      <c r="A325" s="15" t="str">
        <v/>
      </c>
      <c r="B325" s="16" t="str">
        <v>07 FONDO DE COMPENSACION MUNICIPAL</v>
      </c>
      <c r="C325" s="17" t="str">
        <v/>
      </c>
      <c r="D325" s="18">
        <v>517008</v>
      </c>
      <c r="E325" s="18">
        <v>52890</v>
      </c>
      <c r="F325" s="18">
        <v>569898</v>
      </c>
      <c r="G325" s="19">
        <v>145651.66</v>
      </c>
      <c r="H325" s="19">
        <v>23641.66</v>
      </c>
      <c r="I325" s="19">
        <v>118098.36</v>
      </c>
      <c r="J325" s="19">
        <v>115098.36</v>
      </c>
      <c r="K325" s="19">
        <v>115098.36</v>
      </c>
      <c r="L325" s="19">
        <v>115098.36</v>
      </c>
      <c r="M325" s="20">
        <f>IF(G325&gt;0,J325/G325,0)</f>
      </c>
    </row>
    <row r="326" ht="14.4" customHeight="1">
      <c r="A326" s="21" t="str">
        <v/>
      </c>
      <c r="B326" s="22" t="str">
        <v>2.1.1.1.1.2     PERSONAL ADMINISTRATIVO NOMBRADO (REGIMEN PUBLICO)</v>
      </c>
      <c r="C326" s="23" t="str">
        <v/>
      </c>
      <c r="D326" s="24">
        <v>59112</v>
      </c>
      <c r="E326" s="24">
        <v>6000</v>
      </c>
      <c r="F326" s="24">
        <v>65112</v>
      </c>
      <c r="G326" s="25">
        <v>65112</v>
      </c>
      <c r="H326" s="25">
        <v>0</v>
      </c>
      <c r="I326" s="25">
        <v>0</v>
      </c>
      <c r="J326" s="25">
        <v>0</v>
      </c>
      <c r="K326" s="25">
        <v>0</v>
      </c>
      <c r="L326" s="25">
        <v>0</v>
      </c>
      <c r="M326" s="26">
        <f>IF(G326&gt;0,J326/G326,0)</f>
      </c>
    </row>
    <row r="327" ht="14.4" customHeight="1">
      <c r="A327" s="21" t="str">
        <v/>
      </c>
      <c r="B327" s="22" t="str">
        <v>2.1.1.13.1.2     CONTRATO ADMINISTRATIVO DE SERVICIOS - TRANSITORIO</v>
      </c>
      <c r="C327" s="23" t="str">
        <v/>
      </c>
      <c r="D327" s="24">
        <v>66000</v>
      </c>
      <c r="E327" s="24">
        <v>0</v>
      </c>
      <c r="F327" s="24">
        <v>66000</v>
      </c>
      <c r="G327" s="25">
        <v>0</v>
      </c>
      <c r="H327" s="25">
        <v>0</v>
      </c>
      <c r="I327" s="25">
        <v>0</v>
      </c>
      <c r="J327" s="25">
        <v>0</v>
      </c>
      <c r="K327" s="25">
        <v>0</v>
      </c>
      <c r="L327" s="25">
        <v>0</v>
      </c>
      <c r="M327" s="26">
        <f>IF(G327&gt;0,J327/G327,0)</f>
      </c>
    </row>
    <row r="328" ht="14.4" customHeight="1">
      <c r="A328" s="21" t="str">
        <v/>
      </c>
      <c r="B328" s="22" t="str">
        <v>2.1.1.9.1.2     AGUINALDOS</v>
      </c>
      <c r="C328" s="23" t="str">
        <v/>
      </c>
      <c r="D328" s="24">
        <v>9852</v>
      </c>
      <c r="E328" s="24">
        <v>240</v>
      </c>
      <c r="F328" s="24">
        <v>10092</v>
      </c>
      <c r="G328" s="25">
        <v>10092</v>
      </c>
      <c r="H328" s="25">
        <v>0</v>
      </c>
      <c r="I328" s="25">
        <v>0</v>
      </c>
      <c r="J328" s="25">
        <v>0</v>
      </c>
      <c r="K328" s="25">
        <v>0</v>
      </c>
      <c r="L328" s="25">
        <v>0</v>
      </c>
      <c r="M328" s="26">
        <f>IF(G328&gt;0,J328/G328,0)</f>
      </c>
    </row>
    <row r="329" ht="14.4" customHeight="1">
      <c r="A329" s="21" t="str">
        <v/>
      </c>
      <c r="B329" s="22" t="str">
        <v>2.1.1.9.1.3     BONIFICACION POR ESCOLARIDAD</v>
      </c>
      <c r="C329" s="23" t="str">
        <v/>
      </c>
      <c r="D329" s="24">
        <v>4926</v>
      </c>
      <c r="E329" s="24">
        <v>500</v>
      </c>
      <c r="F329" s="24">
        <v>5426</v>
      </c>
      <c r="G329" s="25">
        <v>5426</v>
      </c>
      <c r="H329" s="25">
        <v>3926</v>
      </c>
      <c r="I329" s="25">
        <v>3926</v>
      </c>
      <c r="J329" s="25">
        <v>3926</v>
      </c>
      <c r="K329" s="25">
        <v>3926</v>
      </c>
      <c r="L329" s="25">
        <v>3926</v>
      </c>
      <c r="M329" s="26">
        <f>IF(G329&gt;0,J329/G329,0)</f>
      </c>
    </row>
    <row r="330" ht="14.4" customHeight="1">
      <c r="A330" s="21" t="str">
        <v/>
      </c>
      <c r="B330" s="22" t="str">
        <v>2.1.1.9.1.4     AGUINALDOS DE CONTRATO ADMINISTRATIVO DE SERVICIOS</v>
      </c>
      <c r="C330" s="23" t="str">
        <v/>
      </c>
      <c r="D330" s="24">
        <v>600</v>
      </c>
      <c r="E330" s="24">
        <v>-600</v>
      </c>
      <c r="F330" s="24">
        <v>0</v>
      </c>
      <c r="G330" s="25">
        <v>0</v>
      </c>
      <c r="H330" s="25">
        <v>0</v>
      </c>
      <c r="I330" s="25">
        <v>0</v>
      </c>
      <c r="J330" s="25">
        <v>0</v>
      </c>
      <c r="K330" s="25">
        <v>0</v>
      </c>
      <c r="L330" s="25">
        <v>0</v>
      </c>
      <c r="M330" s="26">
        <f>IF(G330&gt;0,J330/G330,0)</f>
      </c>
    </row>
    <row r="331" ht="14.4" customHeight="1">
      <c r="A331" s="21" t="str">
        <v/>
      </c>
      <c r="B331" s="22" t="str">
        <v>2.1.1.9.3.99     OTRAS OCASIONALES</v>
      </c>
      <c r="C331" s="23" t="str">
        <v/>
      </c>
      <c r="D331" s="24">
        <v>3000</v>
      </c>
      <c r="E331" s="24">
        <v>0</v>
      </c>
      <c r="F331" s="24">
        <v>3000</v>
      </c>
      <c r="G331" s="25">
        <v>3000</v>
      </c>
      <c r="H331" s="25">
        <v>0</v>
      </c>
      <c r="I331" s="25">
        <v>0</v>
      </c>
      <c r="J331" s="25">
        <v>0</v>
      </c>
      <c r="K331" s="25">
        <v>0</v>
      </c>
      <c r="L331" s="25">
        <v>0</v>
      </c>
      <c r="M331" s="26">
        <f>IF(G331&gt;0,J331/G331,0)</f>
      </c>
    </row>
    <row r="332" ht="14.4" customHeight="1">
      <c r="A332" s="21" t="str">
        <v/>
      </c>
      <c r="B332" s="22" t="str">
        <v>2.1.3.1.1.13     CONTRIBUCIONES A ESSALUD DEL PERSONAL ADMINISTRATIVO</v>
      </c>
      <c r="C332" s="23" t="str">
        <v/>
      </c>
      <c r="D332" s="24">
        <v>11880</v>
      </c>
      <c r="E332" s="24">
        <v>0</v>
      </c>
      <c r="F332" s="24">
        <v>11880</v>
      </c>
      <c r="G332" s="25">
        <v>11880</v>
      </c>
      <c r="H332" s="25">
        <v>0</v>
      </c>
      <c r="I332" s="25">
        <v>0</v>
      </c>
      <c r="J332" s="25">
        <v>0</v>
      </c>
      <c r="K332" s="25">
        <v>0</v>
      </c>
      <c r="L332" s="25">
        <v>0</v>
      </c>
      <c r="M332" s="26">
        <f>IF(G332&gt;0,J332/G332,0)</f>
      </c>
    </row>
    <row r="333" ht="14.4" customHeight="1">
      <c r="A333" s="21" t="str">
        <v/>
      </c>
      <c r="B333" s="22" t="str">
        <v>2.1.3.1.1.15     CONTRIBUCIONES A ESSALUD DE CONTRATO ADMINISTRATIVO DE SERVICIOS</v>
      </c>
      <c r="C333" s="23" t="str">
        <v/>
      </c>
      <c r="D333" s="24">
        <v>2712</v>
      </c>
      <c r="E333" s="24">
        <v>0</v>
      </c>
      <c r="F333" s="24">
        <v>2712</v>
      </c>
      <c r="G333" s="25">
        <v>711.94</v>
      </c>
      <c r="H333" s="25">
        <v>711.94</v>
      </c>
      <c r="I333" s="25">
        <v>711.94</v>
      </c>
      <c r="J333" s="25">
        <v>711.94</v>
      </c>
      <c r="K333" s="25">
        <v>711.94</v>
      </c>
      <c r="L333" s="25">
        <v>711.94</v>
      </c>
      <c r="M333" s="26">
        <f>IF(G333&gt;0,J333/G333,0)</f>
      </c>
    </row>
    <row r="334" ht="14.4" customHeight="1">
      <c r="A334" s="21" t="str">
        <v/>
      </c>
      <c r="B334" s="22" t="str">
        <v>2.1.4.1.1.5     BONIFICACION ADICIONAL POR VACACIONES</v>
      </c>
      <c r="C334" s="23" t="str">
        <v/>
      </c>
      <c r="D334" s="24">
        <v>4926</v>
      </c>
      <c r="E334" s="24">
        <v>500</v>
      </c>
      <c r="F334" s="24">
        <v>5426</v>
      </c>
      <c r="G334" s="25">
        <v>5426</v>
      </c>
      <c r="H334" s="25">
        <v>0</v>
      </c>
      <c r="I334" s="25">
        <v>0</v>
      </c>
      <c r="J334" s="25">
        <v>0</v>
      </c>
      <c r="K334" s="25">
        <v>0</v>
      </c>
      <c r="L334" s="25">
        <v>0</v>
      </c>
      <c r="M334" s="26">
        <f>IF(G334&gt;0,J334/G334,0)</f>
      </c>
    </row>
    <row r="335" ht="14.4" customHeight="1">
      <c r="A335" s="21" t="str">
        <v/>
      </c>
      <c r="B335" s="22" t="str">
        <v>2.1.4.1.1.6     COMPENSACION VACACIONAL (VACACIONES TRUNCAS) AL PERSONAL ACTIVO</v>
      </c>
      <c r="C335" s="23" t="str">
        <v/>
      </c>
      <c r="D335" s="24">
        <v>6000</v>
      </c>
      <c r="E335" s="24">
        <v>0</v>
      </c>
      <c r="F335" s="24">
        <v>6000</v>
      </c>
      <c r="G335" s="25">
        <v>4510.42</v>
      </c>
      <c r="H335" s="25">
        <v>4510.42</v>
      </c>
      <c r="I335" s="25">
        <v>4510.42</v>
      </c>
      <c r="J335" s="25">
        <v>4510.42</v>
      </c>
      <c r="K335" s="25">
        <v>4510.42</v>
      </c>
      <c r="L335" s="25">
        <v>4510.42</v>
      </c>
      <c r="M335" s="26">
        <f>IF(G335&gt;0,J335/G335,0)</f>
      </c>
    </row>
    <row r="336" ht="14.4" customHeight="1">
      <c r="A336" s="21" t="str">
        <v/>
      </c>
      <c r="B336" s="22" t="str">
        <v>2.3.1.1.1.1     ALIMENTOS Y BEBIDAS PARA CONSUMO HUMANO</v>
      </c>
      <c r="C336" s="23" t="str">
        <v/>
      </c>
      <c r="D336" s="24">
        <v>20000</v>
      </c>
      <c r="E336" s="24">
        <v>-20000</v>
      </c>
      <c r="F336" s="24">
        <v>0</v>
      </c>
      <c r="G336" s="25">
        <v>0</v>
      </c>
      <c r="H336" s="25">
        <v>0</v>
      </c>
      <c r="I336" s="25">
        <v>0</v>
      </c>
      <c r="J336" s="25">
        <v>0</v>
      </c>
      <c r="K336" s="25">
        <v>0</v>
      </c>
      <c r="L336" s="25">
        <v>0</v>
      </c>
      <c r="M336" s="26">
        <f>IF(G336&gt;0,J336/G336,0)</f>
      </c>
    </row>
    <row r="337" ht="14.4" customHeight="1">
      <c r="A337" s="21" t="str">
        <v/>
      </c>
      <c r="B337" s="22" t="str">
        <v>2.3.1.3.1.1     COMBUSTIBLES Y CARBURANTES</v>
      </c>
      <c r="C337" s="23" t="str">
        <v/>
      </c>
      <c r="D337" s="24">
        <v>3000</v>
      </c>
      <c r="E337" s="24">
        <v>0</v>
      </c>
      <c r="F337" s="24">
        <v>3000</v>
      </c>
      <c r="G337" s="25">
        <v>0</v>
      </c>
      <c r="H337" s="25">
        <v>0</v>
      </c>
      <c r="I337" s="25">
        <v>0</v>
      </c>
      <c r="J337" s="25">
        <v>0</v>
      </c>
      <c r="K337" s="25">
        <v>0</v>
      </c>
      <c r="L337" s="25">
        <v>0</v>
      </c>
      <c r="M337" s="26">
        <f>IF(G337&gt;0,J337/G337,0)</f>
      </c>
    </row>
    <row r="338" ht="14.4" customHeight="1">
      <c r="A338" s="21" t="str">
        <v/>
      </c>
      <c r="B338" s="22" t="str">
        <v>2.3.1.5.1.1     REPUESTOS Y ACCESORIOS</v>
      </c>
      <c r="C338" s="23" t="str">
        <v/>
      </c>
      <c r="D338" s="24">
        <v>1000</v>
      </c>
      <c r="E338" s="24">
        <v>-1000</v>
      </c>
      <c r="F338" s="24">
        <v>0</v>
      </c>
      <c r="G338" s="25">
        <v>0</v>
      </c>
      <c r="H338" s="25">
        <v>0</v>
      </c>
      <c r="I338" s="25">
        <v>0</v>
      </c>
      <c r="J338" s="25">
        <v>0</v>
      </c>
      <c r="K338" s="25">
        <v>0</v>
      </c>
      <c r="L338" s="25">
        <v>0</v>
      </c>
      <c r="M338" s="26">
        <f>IF(G338&gt;0,J338/G338,0)</f>
      </c>
    </row>
    <row r="339" ht="14.4" customHeight="1">
      <c r="A339" s="21" t="str">
        <v/>
      </c>
      <c r="B339" s="22" t="str">
        <v>2.3.1.5.1.2     PAPELERIA EN GENERAL, UTILES Y MATERIALES DE OFICINA</v>
      </c>
      <c r="C339" s="23" t="str">
        <v/>
      </c>
      <c r="D339" s="24">
        <v>1000</v>
      </c>
      <c r="E339" s="24">
        <v>-1000</v>
      </c>
      <c r="F339" s="24">
        <v>0</v>
      </c>
      <c r="G339" s="25">
        <v>0</v>
      </c>
      <c r="H339" s="25">
        <v>0</v>
      </c>
      <c r="I339" s="25">
        <v>0</v>
      </c>
      <c r="J339" s="25">
        <v>0</v>
      </c>
      <c r="K339" s="25">
        <v>0</v>
      </c>
      <c r="L339" s="25">
        <v>0</v>
      </c>
      <c r="M339" s="26">
        <f>IF(G339&gt;0,J339/G339,0)</f>
      </c>
    </row>
    <row r="340" ht="14.4" customHeight="1">
      <c r="A340" s="21" t="str">
        <v/>
      </c>
      <c r="B340" s="22" t="str">
        <v>2.3.2.1.2.1     PASAJES Y GASTOS DE TRANSPORTE</v>
      </c>
      <c r="C340" s="23" t="str">
        <v/>
      </c>
      <c r="D340" s="24">
        <v>5000</v>
      </c>
      <c r="E340" s="24">
        <v>0</v>
      </c>
      <c r="F340" s="24">
        <v>5000</v>
      </c>
      <c r="G340" s="25">
        <v>0</v>
      </c>
      <c r="H340" s="25">
        <v>0</v>
      </c>
      <c r="I340" s="25">
        <v>0</v>
      </c>
      <c r="J340" s="25">
        <v>0</v>
      </c>
      <c r="K340" s="25">
        <v>0</v>
      </c>
      <c r="L340" s="25">
        <v>0</v>
      </c>
      <c r="M340" s="26">
        <f>IF(G340&gt;0,J340/G340,0)</f>
      </c>
    </row>
    <row r="341" ht="14.4" customHeight="1">
      <c r="A341" s="21" t="str">
        <v/>
      </c>
      <c r="B341" s="22" t="str">
        <v>2.3.2.1.2.2     VIATICOS Y ASIGNACIONES POR COMISION DE SERVICIO</v>
      </c>
      <c r="C341" s="23" t="str">
        <v/>
      </c>
      <c r="D341" s="24">
        <v>10000</v>
      </c>
      <c r="E341" s="24">
        <v>0</v>
      </c>
      <c r="F341" s="24">
        <v>10000</v>
      </c>
      <c r="G341" s="25">
        <v>0</v>
      </c>
      <c r="H341" s="25">
        <v>0</v>
      </c>
      <c r="I341" s="25">
        <v>0</v>
      </c>
      <c r="J341" s="25">
        <v>0</v>
      </c>
      <c r="K341" s="25">
        <v>0</v>
      </c>
      <c r="L341" s="25">
        <v>0</v>
      </c>
      <c r="M341" s="26">
        <f>IF(G341&gt;0,J341/G341,0)</f>
      </c>
    </row>
    <row r="342" ht="14.4" customHeight="1">
      <c r="A342" s="21" t="str">
        <v/>
      </c>
      <c r="B342" s="22" t="str">
        <v>2.3.2.1.2.99     OTROS GASTOS</v>
      </c>
      <c r="C342" s="23" t="str">
        <v/>
      </c>
      <c r="D342" s="24">
        <v>3000</v>
      </c>
      <c r="E342" s="24">
        <v>-3000</v>
      </c>
      <c r="F342" s="24">
        <v>0</v>
      </c>
      <c r="G342" s="25">
        <v>0</v>
      </c>
      <c r="H342" s="25">
        <v>0</v>
      </c>
      <c r="I342" s="25">
        <v>0</v>
      </c>
      <c r="J342" s="25">
        <v>0</v>
      </c>
      <c r="K342" s="25">
        <v>0</v>
      </c>
      <c r="L342" s="25">
        <v>0</v>
      </c>
      <c r="M342" s="26">
        <f>IF(G342&gt;0,J342/G342,0)</f>
      </c>
    </row>
    <row r="343" ht="14.4" customHeight="1">
      <c r="A343" s="21" t="str">
        <v/>
      </c>
      <c r="B343" s="22" t="str">
        <v>2.3.2.2.4.1     SERVICIO DE PUBLICIDAD</v>
      </c>
      <c r="C343" s="23" t="str">
        <v/>
      </c>
      <c r="D343" s="24">
        <v>2000</v>
      </c>
      <c r="E343" s="24">
        <v>0</v>
      </c>
      <c r="F343" s="24">
        <v>2000</v>
      </c>
      <c r="G343" s="25">
        <v>0</v>
      </c>
      <c r="H343" s="25">
        <v>0</v>
      </c>
      <c r="I343" s="25">
        <v>0</v>
      </c>
      <c r="J343" s="25">
        <v>0</v>
      </c>
      <c r="K343" s="25">
        <v>0</v>
      </c>
      <c r="L343" s="25">
        <v>0</v>
      </c>
      <c r="M343" s="26">
        <f>IF(G343&gt;0,J343/G343,0)</f>
      </c>
    </row>
    <row r="344" ht="14.4" customHeight="1">
      <c r="A344" s="21" t="str">
        <v/>
      </c>
      <c r="B344" s="22" t="str">
        <v>2.3.2.5.1.2     DE VEHICULOS</v>
      </c>
      <c r="C344" s="23" t="str">
        <v/>
      </c>
      <c r="D344" s="24">
        <v>12417</v>
      </c>
      <c r="E344" s="24">
        <v>0</v>
      </c>
      <c r="F344" s="24">
        <v>12417</v>
      </c>
      <c r="G344" s="25">
        <v>0</v>
      </c>
      <c r="H344" s="25">
        <v>0</v>
      </c>
      <c r="I344" s="25">
        <v>0</v>
      </c>
      <c r="J344" s="25">
        <v>0</v>
      </c>
      <c r="K344" s="25">
        <v>0</v>
      </c>
      <c r="L344" s="25">
        <v>0</v>
      </c>
      <c r="M344" s="26">
        <f>IF(G344&gt;0,J344/G344,0)</f>
      </c>
    </row>
    <row r="345" ht="14.4" customHeight="1">
      <c r="A345" s="21" t="str">
        <v/>
      </c>
      <c r="B345" s="22" t="str">
        <v>2.3.2.5.1.4     DE MAQUINARIAS Y EQUIPOS</v>
      </c>
      <c r="C345" s="23" t="str">
        <v/>
      </c>
      <c r="D345" s="24">
        <v>4700</v>
      </c>
      <c r="E345" s="24">
        <v>0</v>
      </c>
      <c r="F345" s="24">
        <v>4700</v>
      </c>
      <c r="G345" s="25">
        <v>0</v>
      </c>
      <c r="H345" s="25">
        <v>0</v>
      </c>
      <c r="I345" s="25">
        <v>0</v>
      </c>
      <c r="J345" s="25">
        <v>0</v>
      </c>
      <c r="K345" s="25">
        <v>0</v>
      </c>
      <c r="L345" s="25">
        <v>0</v>
      </c>
      <c r="M345" s="26">
        <f>IF(G345&gt;0,J345/G345,0)</f>
      </c>
    </row>
    <row r="346" ht="14.4" customHeight="1">
      <c r="A346" s="21" t="str">
        <v/>
      </c>
      <c r="B346" s="22" t="str">
        <v>2.3.2.7.11.99     SERVICIOS DIVERSOS</v>
      </c>
      <c r="C346" s="23" t="str">
        <v/>
      </c>
      <c r="D346" s="24">
        <v>50000</v>
      </c>
      <c r="E346" s="24">
        <v>0</v>
      </c>
      <c r="F346" s="24">
        <v>50000</v>
      </c>
      <c r="G346" s="25">
        <v>3243.3</v>
      </c>
      <c r="H346" s="25">
        <v>3243.3</v>
      </c>
      <c r="I346" s="25">
        <v>50000</v>
      </c>
      <c r="J346" s="25">
        <v>50000</v>
      </c>
      <c r="K346" s="25">
        <v>50000</v>
      </c>
      <c r="L346" s="25">
        <v>50000</v>
      </c>
      <c r="M346" s="26">
        <f>IF(G346&gt;0,J346/G346,0)</f>
      </c>
    </row>
    <row r="347" ht="14.4" customHeight="1">
      <c r="A347" s="21" t="str">
        <v/>
      </c>
      <c r="B347" s="22" t="str">
        <v>2.3.2.7.14.98     OTROS SERVICIOS TÉCNICOS Y PROFESIONALES DESARROLLADOS POR PERSONAS NATURALES</v>
      </c>
      <c r="C347" s="23" t="str">
        <v/>
      </c>
      <c r="D347" s="24">
        <v>27500</v>
      </c>
      <c r="E347" s="24">
        <v>170000</v>
      </c>
      <c r="F347" s="24">
        <v>197500</v>
      </c>
      <c r="G347" s="25">
        <v>25000</v>
      </c>
      <c r="H347" s="25">
        <v>0</v>
      </c>
      <c r="I347" s="25">
        <v>45450</v>
      </c>
      <c r="J347" s="25">
        <v>45450</v>
      </c>
      <c r="K347" s="25">
        <v>45450</v>
      </c>
      <c r="L347" s="25">
        <v>45450</v>
      </c>
      <c r="M347" s="26">
        <f>IF(G347&gt;0,J347/G347,0)</f>
      </c>
    </row>
    <row r="348" ht="14.4" customHeight="1">
      <c r="A348" s="21" t="str">
        <v/>
      </c>
      <c r="B348" s="22" t="str">
        <v>2.3.2.9.1.1     LOCACIÓN DE SERVICIOS REALIZADOS POR PERSONA NATURAL</v>
      </c>
      <c r="C348" s="23" t="str">
        <v/>
      </c>
      <c r="D348" s="24">
        <v>208383</v>
      </c>
      <c r="E348" s="24">
        <v>-98750</v>
      </c>
      <c r="F348" s="24">
        <v>109633</v>
      </c>
      <c r="G348" s="25">
        <v>11250</v>
      </c>
      <c r="H348" s="25">
        <v>11250</v>
      </c>
      <c r="I348" s="25">
        <v>13500</v>
      </c>
      <c r="J348" s="25">
        <v>10500</v>
      </c>
      <c r="K348" s="25">
        <v>10500</v>
      </c>
      <c r="L348" s="25">
        <v>10500</v>
      </c>
      <c r="M348" s="26">
        <f>IF(G348&gt;0,J348/G348,0)</f>
      </c>
    </row>
    <row r="349" ht="14.4" customHeight="1">
      <c r="A349" s="15" t="str">
        <v>0043</v>
      </c>
      <c r="B349" s="16" t="str">
        <v>DESARROLLAR EL PLANEAMIENTO DE LA GESTION</v>
      </c>
      <c r="C349" s="17" t="str">
        <v/>
      </c>
      <c r="D349" s="18">
        <v>60000</v>
      </c>
      <c r="E349" s="18">
        <v>0</v>
      </c>
      <c r="F349" s="18">
        <v>60000</v>
      </c>
      <c r="G349" s="19">
        <v>3582.5</v>
      </c>
      <c r="H349" s="19">
        <v>3582.5</v>
      </c>
      <c r="I349" s="19">
        <v>7189.5</v>
      </c>
      <c r="J349" s="19">
        <v>7189.5</v>
      </c>
      <c r="K349" s="19">
        <v>6087.5</v>
      </c>
      <c r="L349" s="19">
        <v>6087.5</v>
      </c>
      <c r="M349" s="20">
        <f>IF(G349&gt;0,J349/G349,0)</f>
      </c>
    </row>
    <row r="350" ht="14.4" customHeight="1">
      <c r="A350" s="15" t="str">
        <v/>
      </c>
      <c r="B350" s="16" t="str">
        <v>07 FONDO DE COMPENSACION MUNICIPAL</v>
      </c>
      <c r="C350" s="17" t="str">
        <v/>
      </c>
      <c r="D350" s="18">
        <v>60000</v>
      </c>
      <c r="E350" s="18">
        <v>0</v>
      </c>
      <c r="F350" s="18">
        <v>60000</v>
      </c>
      <c r="G350" s="19">
        <v>3582.5</v>
      </c>
      <c r="H350" s="19">
        <v>3582.5</v>
      </c>
      <c r="I350" s="19">
        <v>7189.5</v>
      </c>
      <c r="J350" s="19">
        <v>7189.5</v>
      </c>
      <c r="K350" s="19">
        <v>6087.5</v>
      </c>
      <c r="L350" s="19">
        <v>6087.5</v>
      </c>
      <c r="M350" s="20">
        <f>IF(G350&gt;0,J350/G350,0)</f>
      </c>
    </row>
    <row r="351" ht="14.4" customHeight="1">
      <c r="A351" s="21" t="str">
        <v/>
      </c>
      <c r="B351" s="22" t="str">
        <v>2.3.2.1.2.1     PASAJES Y GASTOS DE TRANSPORTE</v>
      </c>
      <c r="C351" s="23" t="str">
        <v/>
      </c>
      <c r="D351" s="24">
        <v>30000</v>
      </c>
      <c r="E351" s="24">
        <v>0</v>
      </c>
      <c r="F351" s="24">
        <v>30000</v>
      </c>
      <c r="G351" s="25">
        <v>2477</v>
      </c>
      <c r="H351" s="25">
        <v>2477</v>
      </c>
      <c r="I351" s="25">
        <v>5464</v>
      </c>
      <c r="J351" s="25">
        <v>5464</v>
      </c>
      <c r="K351" s="25">
        <v>4982</v>
      </c>
      <c r="L351" s="25">
        <v>4982</v>
      </c>
      <c r="M351" s="26">
        <f>IF(G351&gt;0,J351/G351,0)</f>
      </c>
    </row>
    <row r="352" ht="14.4" customHeight="1">
      <c r="A352" s="21" t="str">
        <v/>
      </c>
      <c r="B352" s="22" t="str">
        <v>2.3.2.1.2.2     VIATICOS Y ASIGNACIONES POR COMISION DE SERVICIO</v>
      </c>
      <c r="C352" s="23" t="str">
        <v/>
      </c>
      <c r="D352" s="24">
        <v>30000</v>
      </c>
      <c r="E352" s="24">
        <v>0</v>
      </c>
      <c r="F352" s="24">
        <v>30000</v>
      </c>
      <c r="G352" s="25">
        <v>1105.5</v>
      </c>
      <c r="H352" s="25">
        <v>1105.5</v>
      </c>
      <c r="I352" s="25">
        <v>1725.5</v>
      </c>
      <c r="J352" s="25">
        <v>1725.5</v>
      </c>
      <c r="K352" s="25">
        <v>1105.5</v>
      </c>
      <c r="L352" s="25">
        <v>1105.5</v>
      </c>
      <c r="M352" s="26">
        <f>IF(G352&gt;0,J352/G352,0)</f>
      </c>
    </row>
    <row r="353" ht="14.4" customHeight="1">
      <c r="A353" s="15" t="str">
        <v>0044</v>
      </c>
      <c r="B353" s="16" t="str">
        <v>NORMAR Y FISCALIZAR</v>
      </c>
      <c r="C353" s="17" t="str">
        <v/>
      </c>
      <c r="D353" s="18">
        <v>591607</v>
      </c>
      <c r="E353" s="18">
        <v>0</v>
      </c>
      <c r="F353" s="18">
        <v>591607</v>
      </c>
      <c r="G353" s="19">
        <v>516607</v>
      </c>
      <c r="H353" s="19">
        <v>49868</v>
      </c>
      <c r="I353" s="19">
        <v>118482</v>
      </c>
      <c r="J353" s="19">
        <v>118482</v>
      </c>
      <c r="K353" s="19">
        <v>112922.9</v>
      </c>
      <c r="L353" s="19">
        <v>112922.9</v>
      </c>
      <c r="M353" s="20">
        <f>IF(G353&gt;0,J353/G353,0)</f>
      </c>
    </row>
    <row r="354" ht="14.4" customHeight="1">
      <c r="A354" s="15" t="str">
        <v/>
      </c>
      <c r="B354" s="16" t="str">
        <v>07 FONDO DE COMPENSACION MUNICIPAL</v>
      </c>
      <c r="C354" s="17" t="str">
        <v/>
      </c>
      <c r="D354" s="18">
        <v>591607</v>
      </c>
      <c r="E354" s="18">
        <v>0</v>
      </c>
      <c r="F354" s="18">
        <v>591607</v>
      </c>
      <c r="G354" s="19">
        <v>516607</v>
      </c>
      <c r="H354" s="19">
        <v>49868</v>
      </c>
      <c r="I354" s="19">
        <v>118482</v>
      </c>
      <c r="J354" s="19">
        <v>118482</v>
      </c>
      <c r="K354" s="19">
        <v>112922.9</v>
      </c>
      <c r="L354" s="19">
        <v>112922.9</v>
      </c>
      <c r="M354" s="20">
        <f>IF(G354&gt;0,J354/G354,0)</f>
      </c>
    </row>
    <row r="355" ht="14.4" customHeight="1">
      <c r="A355" s="21" t="str">
        <v/>
      </c>
      <c r="B355" s="22" t="str">
        <v>2.1.1.1.1.1     FUNCIONARIOS ELEGIDOS POR ELECCION POLITICA</v>
      </c>
      <c r="C355" s="23" t="str">
        <v/>
      </c>
      <c r="D355" s="24">
        <v>109200</v>
      </c>
      <c r="E355" s="24">
        <v>0</v>
      </c>
      <c r="F355" s="24">
        <v>109200</v>
      </c>
      <c r="G355" s="25">
        <v>109200</v>
      </c>
      <c r="H355" s="25">
        <v>18200</v>
      </c>
      <c r="I355" s="25">
        <v>27300</v>
      </c>
      <c r="J355" s="25">
        <v>27300</v>
      </c>
      <c r="K355" s="25">
        <v>23924.9</v>
      </c>
      <c r="L355" s="25">
        <v>23924.9</v>
      </c>
      <c r="M355" s="26">
        <f>IF(G355&gt;0,J355/G355,0)</f>
      </c>
    </row>
    <row r="356" ht="14.4" customHeight="1">
      <c r="A356" s="21" t="str">
        <v/>
      </c>
      <c r="B356" s="22" t="str">
        <v>2.1.1.10.1.2     DIETAS DE REGIDORES Y CONSEJEROS</v>
      </c>
      <c r="C356" s="23" t="str">
        <v/>
      </c>
      <c r="D356" s="24">
        <v>360360</v>
      </c>
      <c r="E356" s="24">
        <v>0</v>
      </c>
      <c r="F356" s="24">
        <v>360360</v>
      </c>
      <c r="G356" s="25">
        <v>360360</v>
      </c>
      <c r="H356" s="25">
        <v>30030</v>
      </c>
      <c r="I356" s="25">
        <v>88725</v>
      </c>
      <c r="J356" s="25">
        <v>88725</v>
      </c>
      <c r="K356" s="25">
        <v>86541</v>
      </c>
      <c r="L356" s="25">
        <v>86541</v>
      </c>
      <c r="M356" s="26">
        <f>IF(G356&gt;0,J356/G356,0)</f>
      </c>
    </row>
    <row r="357" ht="14.4" customHeight="1">
      <c r="A357" s="21" t="str">
        <v/>
      </c>
      <c r="B357" s="22" t="str">
        <v>2.1.1.9.1.1     GRATIFICACIONES</v>
      </c>
      <c r="C357" s="23" t="str">
        <v/>
      </c>
      <c r="D357" s="24">
        <v>18200</v>
      </c>
      <c r="E357" s="24">
        <v>0</v>
      </c>
      <c r="F357" s="24">
        <v>18200</v>
      </c>
      <c r="G357" s="25">
        <v>18200</v>
      </c>
      <c r="H357" s="25">
        <v>0</v>
      </c>
      <c r="I357" s="25">
        <v>0</v>
      </c>
      <c r="J357" s="25">
        <v>0</v>
      </c>
      <c r="K357" s="25">
        <v>0</v>
      </c>
      <c r="L357" s="25">
        <v>0</v>
      </c>
      <c r="M357" s="26">
        <f>IF(G357&gt;0,J357/G357,0)</f>
      </c>
    </row>
    <row r="358" ht="14.4" customHeight="1">
      <c r="A358" s="21" t="str">
        <v/>
      </c>
      <c r="B358" s="22" t="str">
        <v>2.1.3.1.1.13     CONTRIBUCIONES A ESSALUD DEL PERSONAL ADMINISTRATIVO</v>
      </c>
      <c r="C358" s="23" t="str">
        <v/>
      </c>
      <c r="D358" s="24">
        <v>10647</v>
      </c>
      <c r="E358" s="24">
        <v>0</v>
      </c>
      <c r="F358" s="24">
        <v>10647</v>
      </c>
      <c r="G358" s="25">
        <v>10647</v>
      </c>
      <c r="H358" s="25">
        <v>1638</v>
      </c>
      <c r="I358" s="25">
        <v>2457</v>
      </c>
      <c r="J358" s="25">
        <v>2457</v>
      </c>
      <c r="K358" s="25">
        <v>2457</v>
      </c>
      <c r="L358" s="25">
        <v>2457</v>
      </c>
      <c r="M358" s="26">
        <f>IF(G358&gt;0,J358/G358,0)</f>
      </c>
    </row>
    <row r="359" ht="14.4" customHeight="1">
      <c r="A359" s="21" t="str">
        <v/>
      </c>
      <c r="B359" s="22" t="str">
        <v>2.1.4.1.1.1     COMPENSACION POR TIEMPO DE SERVICIOS DEL REGIMEN LABORAL PRIVADO Y REGIMEN DEL</v>
      </c>
      <c r="C359" s="23" t="str">
        <v/>
      </c>
      <c r="D359" s="24">
        <v>9100</v>
      </c>
      <c r="E359" s="24">
        <v>0</v>
      </c>
      <c r="F359" s="24">
        <v>9100</v>
      </c>
      <c r="G359" s="25">
        <v>9100</v>
      </c>
      <c r="H359" s="25">
        <v>0</v>
      </c>
      <c r="I359" s="25">
        <v>0</v>
      </c>
      <c r="J359" s="25">
        <v>0</v>
      </c>
      <c r="K359" s="25">
        <v>0</v>
      </c>
      <c r="L359" s="25">
        <v>0</v>
      </c>
      <c r="M359" s="26">
        <f>IF(G359&gt;0,J359/G359,0)</f>
      </c>
    </row>
    <row r="360" ht="14.4" customHeight="1">
      <c r="A360" s="21" t="str">
        <v/>
      </c>
      <c r="B360" s="22" t="str">
        <v>2.1.4.1.1.6     COMPENSACION VACACIONAL (VACACIONES TRUNCAS) AL PERSONAL ACTIVO</v>
      </c>
      <c r="C360" s="23" t="str">
        <v/>
      </c>
      <c r="D360" s="24">
        <v>9100</v>
      </c>
      <c r="E360" s="24">
        <v>0</v>
      </c>
      <c r="F360" s="24">
        <v>9100</v>
      </c>
      <c r="G360" s="25">
        <v>9100</v>
      </c>
      <c r="H360" s="25">
        <v>0</v>
      </c>
      <c r="I360" s="25">
        <v>0</v>
      </c>
      <c r="J360" s="25">
        <v>0</v>
      </c>
      <c r="K360" s="25">
        <v>0</v>
      </c>
      <c r="L360" s="25">
        <v>0</v>
      </c>
      <c r="M360" s="26">
        <f>IF(G360&gt;0,J360/G360,0)</f>
      </c>
    </row>
    <row r="361" ht="14.4" customHeight="1">
      <c r="A361" s="21" t="str">
        <v/>
      </c>
      <c r="B361" s="22" t="str">
        <v>2.3.2.1.2.1     PASAJES Y GASTOS DE TRANSPORTE</v>
      </c>
      <c r="C361" s="23" t="str">
        <v/>
      </c>
      <c r="D361" s="24">
        <v>16000</v>
      </c>
      <c r="E361" s="24">
        <v>0</v>
      </c>
      <c r="F361" s="24">
        <v>16000</v>
      </c>
      <c r="G361" s="25">
        <v>0</v>
      </c>
      <c r="H361" s="25">
        <v>0</v>
      </c>
      <c r="I361" s="25">
        <v>0</v>
      </c>
      <c r="J361" s="25">
        <v>0</v>
      </c>
      <c r="K361" s="25">
        <v>0</v>
      </c>
      <c r="L361" s="25">
        <v>0</v>
      </c>
      <c r="M361" s="26">
        <f>IF(G361&gt;0,J361/G361,0)</f>
      </c>
    </row>
    <row r="362" ht="14.4" customHeight="1">
      <c r="A362" s="21" t="str">
        <v/>
      </c>
      <c r="B362" s="22" t="str">
        <v>2.3.2.1.2.2     VIATICOS Y ASIGNACIONES POR COMISION DE SERVICIO</v>
      </c>
      <c r="C362" s="23" t="str">
        <v/>
      </c>
      <c r="D362" s="24">
        <v>24000</v>
      </c>
      <c r="E362" s="24">
        <v>0</v>
      </c>
      <c r="F362" s="24">
        <v>24000</v>
      </c>
      <c r="G362" s="25">
        <v>0</v>
      </c>
      <c r="H362" s="25">
        <v>0</v>
      </c>
      <c r="I362" s="25">
        <v>0</v>
      </c>
      <c r="J362" s="25">
        <v>0</v>
      </c>
      <c r="K362" s="25">
        <v>0</v>
      </c>
      <c r="L362" s="25">
        <v>0</v>
      </c>
      <c r="M362" s="26">
        <f>IF(G362&gt;0,J362/G362,0)</f>
      </c>
    </row>
    <row r="363" ht="14.4" customHeight="1">
      <c r="A363" s="21" t="str">
        <v/>
      </c>
      <c r="B363" s="22" t="str">
        <v>2.3.2.1.2.99     OTROS GASTOS</v>
      </c>
      <c r="C363" s="23" t="str">
        <v/>
      </c>
      <c r="D363" s="24">
        <v>11000</v>
      </c>
      <c r="E363" s="24">
        <v>0</v>
      </c>
      <c r="F363" s="24">
        <v>11000</v>
      </c>
      <c r="G363" s="25">
        <v>0</v>
      </c>
      <c r="H363" s="25">
        <v>0</v>
      </c>
      <c r="I363" s="25">
        <v>0</v>
      </c>
      <c r="J363" s="25">
        <v>0</v>
      </c>
      <c r="K363" s="25">
        <v>0</v>
      </c>
      <c r="L363" s="25">
        <v>0</v>
      </c>
      <c r="M363" s="26">
        <f>IF(G363&gt;0,J363/G363,0)</f>
      </c>
    </row>
    <row r="364" ht="14.4" customHeight="1">
      <c r="A364" s="21" t="str">
        <v/>
      </c>
      <c r="B364" s="22" t="str">
        <v>2.3.2.5.1.2     DE VEHICULOS</v>
      </c>
      <c r="C364" s="23" t="str">
        <v/>
      </c>
      <c r="D364" s="24">
        <v>5200</v>
      </c>
      <c r="E364" s="24">
        <v>0</v>
      </c>
      <c r="F364" s="24">
        <v>5200</v>
      </c>
      <c r="G364" s="25">
        <v>0</v>
      </c>
      <c r="H364" s="25">
        <v>0</v>
      </c>
      <c r="I364" s="25">
        <v>0</v>
      </c>
      <c r="J364" s="25">
        <v>0</v>
      </c>
      <c r="K364" s="25">
        <v>0</v>
      </c>
      <c r="L364" s="25">
        <v>0</v>
      </c>
      <c r="M364" s="26">
        <f>IF(G364&gt;0,J364/G364,0)</f>
      </c>
    </row>
    <row r="365" ht="14.4" customHeight="1">
      <c r="A365" s="21" t="str">
        <v/>
      </c>
      <c r="B365" s="22" t="str">
        <v>2.3.2.9.1.1     LOCACIÓN DE SERVICIOS REALIZADOS POR PERSONA NATURAL</v>
      </c>
      <c r="C365" s="23" t="str">
        <v/>
      </c>
      <c r="D365" s="24">
        <v>18800</v>
      </c>
      <c r="E365" s="24">
        <v>0</v>
      </c>
      <c r="F365" s="24">
        <v>18800</v>
      </c>
      <c r="G365" s="25">
        <v>0</v>
      </c>
      <c r="H365" s="25">
        <v>0</v>
      </c>
      <c r="I365" s="25">
        <v>0</v>
      </c>
      <c r="J365" s="25">
        <v>0</v>
      </c>
      <c r="K365" s="25">
        <v>0</v>
      </c>
      <c r="L365" s="25">
        <v>0</v>
      </c>
      <c r="M365" s="26">
        <f>IF(G365&gt;0,J365/G365,0)</f>
      </c>
    </row>
    <row r="366" ht="14.4" customHeight="1">
      <c r="A366" s="15" t="str">
        <v>0045</v>
      </c>
      <c r="B366" s="16" t="str">
        <v>GARANTIZAR EL FINANCIAMIENTO DE PUNCHE GERENTES</v>
      </c>
      <c r="C366" s="17" t="str">
        <v/>
      </c>
      <c r="D366" s="18">
        <v>142308</v>
      </c>
      <c r="E366" s="18">
        <v>0</v>
      </c>
      <c r="F366" s="18">
        <v>142308</v>
      </c>
      <c r="G366" s="19">
        <v>140679</v>
      </c>
      <c r="H366" s="19">
        <v>18966</v>
      </c>
      <c r="I366" s="19">
        <v>28449</v>
      </c>
      <c r="J366" s="19">
        <v>28449</v>
      </c>
      <c r="K366" s="19">
        <v>28449</v>
      </c>
      <c r="L366" s="19">
        <v>28449</v>
      </c>
      <c r="M366" s="20">
        <f>IF(G366&gt;0,J366/G366,0)</f>
      </c>
    </row>
    <row r="367" ht="14.4" customHeight="1">
      <c r="A367" s="15" t="str">
        <v/>
      </c>
      <c r="B367" s="16" t="str">
        <v>00 RECURSOS ORDINARIOS</v>
      </c>
      <c r="C367" s="17" t="str">
        <v/>
      </c>
      <c r="D367" s="18">
        <v>142308</v>
      </c>
      <c r="E367" s="18">
        <v>0</v>
      </c>
      <c r="F367" s="18">
        <v>142308</v>
      </c>
      <c r="G367" s="19">
        <v>140679</v>
      </c>
      <c r="H367" s="19">
        <v>18966</v>
      </c>
      <c r="I367" s="19">
        <v>28449</v>
      </c>
      <c r="J367" s="19">
        <v>28449</v>
      </c>
      <c r="K367" s="19">
        <v>28449</v>
      </c>
      <c r="L367" s="19">
        <v>28449</v>
      </c>
      <c r="M367" s="20">
        <f>IF(G367&gt;0,J367/G367,0)</f>
      </c>
    </row>
    <row r="368" ht="14.4" customHeight="1">
      <c r="A368" s="21" t="str">
        <v/>
      </c>
      <c r="B368" s="22" t="str">
        <v>2.1.1.1.1.7     FUNCIONARIOS DE ALTA DIRECCIÓN DE LAS ENTIDADES</v>
      </c>
      <c r="C368" s="23" t="str">
        <v/>
      </c>
      <c r="D368" s="24">
        <v>106200</v>
      </c>
      <c r="E368" s="24">
        <v>-1800</v>
      </c>
      <c r="F368" s="24">
        <v>104400</v>
      </c>
      <c r="G368" s="25">
        <v>104400</v>
      </c>
      <c r="H368" s="25">
        <v>17400</v>
      </c>
      <c r="I368" s="25">
        <v>26100</v>
      </c>
      <c r="J368" s="25">
        <v>26100</v>
      </c>
      <c r="K368" s="25">
        <v>26100</v>
      </c>
      <c r="L368" s="25">
        <v>26100</v>
      </c>
      <c r="M368" s="26">
        <f>IF(G368&gt;0,J368/G368,0)</f>
      </c>
    </row>
    <row r="369" ht="14.4" customHeight="1">
      <c r="A369" s="21" t="str">
        <v/>
      </c>
      <c r="B369" s="22" t="str">
        <v>2.1.1.9.1.2     AGUINALDOS</v>
      </c>
      <c r="C369" s="23" t="str">
        <v/>
      </c>
      <c r="D369" s="24">
        <v>17700</v>
      </c>
      <c r="E369" s="24">
        <v>-300</v>
      </c>
      <c r="F369" s="24">
        <v>17400</v>
      </c>
      <c r="G369" s="25">
        <v>17400</v>
      </c>
      <c r="H369" s="25">
        <v>0</v>
      </c>
      <c r="I369" s="25">
        <v>0</v>
      </c>
      <c r="J369" s="25">
        <v>0</v>
      </c>
      <c r="K369" s="25">
        <v>0</v>
      </c>
      <c r="L369" s="25">
        <v>0</v>
      </c>
      <c r="M369" s="26">
        <f>IF(G369&gt;0,J369/G369,0)</f>
      </c>
    </row>
    <row r="370" ht="14.4" customHeight="1">
      <c r="A370" s="21" t="str">
        <v/>
      </c>
      <c r="B370" s="22" t="str">
        <v>2.1.3.1.1.13     CONTRIBUCIONES A ESSALUD DEL PERSONAL ADMINISTRATIVO</v>
      </c>
      <c r="C370" s="23" t="str">
        <v/>
      </c>
      <c r="D370" s="24">
        <v>9558</v>
      </c>
      <c r="E370" s="24">
        <v>2250</v>
      </c>
      <c r="F370" s="24">
        <v>11808</v>
      </c>
      <c r="G370" s="25">
        <v>10179</v>
      </c>
      <c r="H370" s="25">
        <v>1566</v>
      </c>
      <c r="I370" s="25">
        <v>2349</v>
      </c>
      <c r="J370" s="25">
        <v>2349</v>
      </c>
      <c r="K370" s="25">
        <v>2349</v>
      </c>
      <c r="L370" s="25">
        <v>2349</v>
      </c>
      <c r="M370" s="26">
        <f>IF(G370&gt;0,J370/G370,0)</f>
      </c>
    </row>
    <row r="371" ht="14.4" customHeight="1">
      <c r="A371" s="21" t="str">
        <v/>
      </c>
      <c r="B371" s="22" t="str">
        <v>2.1.4.1.1.1     COMPENSACION POR TIEMPO DE SERVICIOS DEL REGIMEN LABORAL PRIVADO Y REGIMEN DEL</v>
      </c>
      <c r="C371" s="23" t="str">
        <v/>
      </c>
      <c r="D371" s="24">
        <v>8850</v>
      </c>
      <c r="E371" s="24">
        <v>-150</v>
      </c>
      <c r="F371" s="24">
        <v>8700</v>
      </c>
      <c r="G371" s="25">
        <v>8700</v>
      </c>
      <c r="H371" s="25">
        <v>0</v>
      </c>
      <c r="I371" s="25">
        <v>0</v>
      </c>
      <c r="J371" s="25">
        <v>0</v>
      </c>
      <c r="K371" s="25">
        <v>0</v>
      </c>
      <c r="L371" s="25">
        <v>0</v>
      </c>
      <c r="M371" s="26">
        <f>IF(G371&gt;0,J371/G371,0)</f>
      </c>
    </row>
    <row r="372" ht="14.4" customHeight="1">
      <c r="A372" s="15" t="str">
        <v>0046</v>
      </c>
      <c r="B372" s="16" t="str">
        <v>GERENCIAR RECURSOS MATERIALES, HUMANOS Y FINANCIEROS</v>
      </c>
      <c r="C372" s="17" t="str">
        <v/>
      </c>
      <c r="D372" s="18">
        <v>21210257</v>
      </c>
      <c r="E372" s="18">
        <v>-538197</v>
      </c>
      <c r="F372" s="18">
        <v>20672060</v>
      </c>
      <c r="G372" s="19">
        <v>7335009.149999999</v>
      </c>
      <c r="H372" s="19">
        <v>2838740.2300000004</v>
      </c>
      <c r="I372" s="19">
        <v>4587057.01</v>
      </c>
      <c r="J372" s="19">
        <v>4049182.4</v>
      </c>
      <c r="K372" s="19">
        <v>3832105.93</v>
      </c>
      <c r="L372" s="19">
        <v>3832105.93</v>
      </c>
      <c r="M372" s="20">
        <f>IF(G372&gt;0,J372/G372,0)</f>
      </c>
    </row>
    <row r="373" ht="14.4" customHeight="1">
      <c r="A373" s="15" t="str">
        <v/>
      </c>
      <c r="B373" s="16" t="str">
        <v>00 RECURSOS ORDINARIOS</v>
      </c>
      <c r="C373" s="17" t="str">
        <v/>
      </c>
      <c r="D373" s="18">
        <v>0</v>
      </c>
      <c r="E373" s="18">
        <v>14200</v>
      </c>
      <c r="F373" s="18">
        <v>14200</v>
      </c>
      <c r="G373" s="19">
        <v>6100</v>
      </c>
      <c r="H373" s="19">
        <v>6100</v>
      </c>
      <c r="I373" s="19">
        <v>6100</v>
      </c>
      <c r="J373" s="19">
        <v>6100</v>
      </c>
      <c r="K373" s="19">
        <v>6100</v>
      </c>
      <c r="L373" s="19">
        <v>6100</v>
      </c>
      <c r="M373" s="20">
        <f>IF(G373&gt;0,J373/G373,0)</f>
      </c>
    </row>
    <row r="374" ht="14.4" customHeight="1">
      <c r="A374" s="21" t="str">
        <v/>
      </c>
      <c r="B374" s="22" t="str">
        <v>2.1.1.9.3.13     OTROS BONOS EXTRAORDINARIOS PERSONAL ACTIVO</v>
      </c>
      <c r="C374" s="23" t="str">
        <v/>
      </c>
      <c r="D374" s="24">
        <v>0</v>
      </c>
      <c r="E374" s="24">
        <v>13900</v>
      </c>
      <c r="F374" s="24">
        <v>13900</v>
      </c>
      <c r="G374" s="25">
        <v>5800</v>
      </c>
      <c r="H374" s="25">
        <v>5800</v>
      </c>
      <c r="I374" s="25">
        <v>5800</v>
      </c>
      <c r="J374" s="25">
        <v>5800</v>
      </c>
      <c r="K374" s="25">
        <v>5800</v>
      </c>
      <c r="L374" s="25">
        <v>5800</v>
      </c>
      <c r="M374" s="26">
        <f>IF(G374&gt;0,J374/G374,0)</f>
      </c>
    </row>
    <row r="375" ht="14.4" customHeight="1">
      <c r="A375" s="21" t="str">
        <v/>
      </c>
      <c r="B375" s="22" t="str">
        <v>2.1.1.9.3.14     OTROS BONOS EXTRAORDINARIOS PERSONAL CAS</v>
      </c>
      <c r="C375" s="23" t="str">
        <v/>
      </c>
      <c r="D375" s="24">
        <v>0</v>
      </c>
      <c r="E375" s="24">
        <v>300</v>
      </c>
      <c r="F375" s="24">
        <v>300</v>
      </c>
      <c r="G375" s="25">
        <v>300</v>
      </c>
      <c r="H375" s="25">
        <v>300</v>
      </c>
      <c r="I375" s="25">
        <v>300</v>
      </c>
      <c r="J375" s="25">
        <v>300</v>
      </c>
      <c r="K375" s="25">
        <v>300</v>
      </c>
      <c r="L375" s="25">
        <v>300</v>
      </c>
      <c r="M375" s="26">
        <f>IF(G375&gt;0,J375/G375,0)</f>
      </c>
    </row>
    <row r="376" ht="14.4" customHeight="1">
      <c r="A376" s="15" t="str">
        <v/>
      </c>
      <c r="B376" s="16" t="str">
        <v>07 FONDO DE COMPENSACION MUNICIPAL</v>
      </c>
      <c r="C376" s="17" t="str">
        <v/>
      </c>
      <c r="D376" s="18">
        <v>20885787</v>
      </c>
      <c r="E376" s="18">
        <v>-732397</v>
      </c>
      <c r="F376" s="18">
        <v>20153390</v>
      </c>
      <c r="G376" s="19">
        <v>7325409.149999999</v>
      </c>
      <c r="H376" s="19">
        <v>2832140.2300000004</v>
      </c>
      <c r="I376" s="19">
        <v>4565457.01</v>
      </c>
      <c r="J376" s="19">
        <v>4027582.4</v>
      </c>
      <c r="K376" s="19">
        <v>3825505.93</v>
      </c>
      <c r="L376" s="19">
        <v>3825505.93</v>
      </c>
      <c r="M376" s="20">
        <f>IF(G376&gt;0,J376/G376,0)</f>
      </c>
    </row>
    <row r="377" ht="14.4" customHeight="1">
      <c r="A377" s="21" t="str">
        <v/>
      </c>
      <c r="B377" s="22" t="str">
        <v>2.1.1.1.1.2     PERSONAL ADMINISTRATIVO NOMBRADO (REGIMEN PUBLICO)</v>
      </c>
      <c r="C377" s="23" t="str">
        <v/>
      </c>
      <c r="D377" s="24">
        <v>2341680</v>
      </c>
      <c r="E377" s="24">
        <v>96835</v>
      </c>
      <c r="F377" s="24">
        <v>2438515</v>
      </c>
      <c r="G377" s="25">
        <v>2410935</v>
      </c>
      <c r="H377" s="25">
        <v>412674.5</v>
      </c>
      <c r="I377" s="25">
        <v>619011.75</v>
      </c>
      <c r="J377" s="25">
        <v>619011.75</v>
      </c>
      <c r="K377" s="25">
        <v>592567.87</v>
      </c>
      <c r="L377" s="25">
        <v>592567.87</v>
      </c>
      <c r="M377" s="26">
        <f>IF(G377&gt;0,J377/G377,0)</f>
      </c>
    </row>
    <row r="378" ht="14.4" customHeight="1">
      <c r="A378" s="21" t="str">
        <v/>
      </c>
      <c r="B378" s="22" t="str">
        <v>2.1.1.1.1.3     PERSONAL CON CONTRATO A PLAZO FIJO (REGIMEN LABORAL PUBLICO)</v>
      </c>
      <c r="C378" s="23" t="str">
        <v/>
      </c>
      <c r="D378" s="24">
        <v>74400</v>
      </c>
      <c r="E378" s="24">
        <v>-10400</v>
      </c>
      <c r="F378" s="24">
        <v>64000</v>
      </c>
      <c r="G378" s="25">
        <v>54000</v>
      </c>
      <c r="H378" s="25">
        <v>7500</v>
      </c>
      <c r="I378" s="25">
        <v>7500</v>
      </c>
      <c r="J378" s="25">
        <v>7500</v>
      </c>
      <c r="K378" s="25">
        <v>7500</v>
      </c>
      <c r="L378" s="25">
        <v>7500</v>
      </c>
      <c r="M378" s="26">
        <f>IF(G378&gt;0,J378/G378,0)</f>
      </c>
    </row>
    <row r="379" ht="14.4" customHeight="1">
      <c r="A379" s="21" t="str">
        <v/>
      </c>
      <c r="B379" s="22" t="str">
        <v>2.1.1.1.1.7     FUNCIONARIOS DE ALTA DIRECCIÓN DE LAS ENTIDADES</v>
      </c>
      <c r="C379" s="23" t="str">
        <v/>
      </c>
      <c r="D379" s="24">
        <v>86400</v>
      </c>
      <c r="E379" s="24">
        <v>-69624</v>
      </c>
      <c r="F379" s="24">
        <v>16776</v>
      </c>
      <c r="G379" s="25">
        <v>0</v>
      </c>
      <c r="H379" s="25">
        <v>0</v>
      </c>
      <c r="I379" s="25">
        <v>0</v>
      </c>
      <c r="J379" s="25">
        <v>0</v>
      </c>
      <c r="K379" s="25">
        <v>0</v>
      </c>
      <c r="L379" s="25">
        <v>0</v>
      </c>
      <c r="M379" s="26">
        <f>IF(G379&gt;0,J379/G379,0)</f>
      </c>
    </row>
    <row r="380" ht="14.4" customHeight="1">
      <c r="A380" s="21" t="str">
        <v/>
      </c>
      <c r="B380" s="22" t="str">
        <v>2.1.1.1.2.99     OTRAS RETRIBUCIONES Y COMPLEMENTOS</v>
      </c>
      <c r="C380" s="23" t="str">
        <v/>
      </c>
      <c r="D380" s="24">
        <v>286450</v>
      </c>
      <c r="E380" s="24">
        <v>-232131</v>
      </c>
      <c r="F380" s="24">
        <v>54319</v>
      </c>
      <c r="G380" s="25">
        <v>-30023.8</v>
      </c>
      <c r="H380" s="25">
        <v>0</v>
      </c>
      <c r="I380" s="25">
        <v>18289.64</v>
      </c>
      <c r="J380" s="25">
        <v>18289.64</v>
      </c>
      <c r="K380" s="25">
        <v>8206</v>
      </c>
      <c r="L380" s="25">
        <v>8206</v>
      </c>
      <c r="M380" s="26">
        <f>IF(G380&gt;0,J380/G380,0)</f>
      </c>
    </row>
    <row r="381" ht="14.4" customHeight="1">
      <c r="A381" s="21" t="str">
        <v/>
      </c>
      <c r="B381" s="22" t="str">
        <v>2.1.1.13.1.1     CONTRATO ADMINISTRATIVO DE SERVICIOS - INDETERMINADO</v>
      </c>
      <c r="C381" s="23" t="str">
        <v/>
      </c>
      <c r="D381" s="24">
        <v>148111</v>
      </c>
      <c r="E381" s="24">
        <v>51000</v>
      </c>
      <c r="F381" s="24">
        <v>199111</v>
      </c>
      <c r="G381" s="25">
        <v>199110.84</v>
      </c>
      <c r="H381" s="25">
        <v>33185.14</v>
      </c>
      <c r="I381" s="25">
        <v>49777.71</v>
      </c>
      <c r="J381" s="25">
        <v>49777.71</v>
      </c>
      <c r="K381" s="25">
        <v>47335.21</v>
      </c>
      <c r="L381" s="25">
        <v>47335.21</v>
      </c>
      <c r="M381" s="26">
        <f>IF(G381&gt;0,J381/G381,0)</f>
      </c>
    </row>
    <row r="382" ht="14.4" customHeight="1">
      <c r="A382" s="21" t="str">
        <v/>
      </c>
      <c r="B382" s="22" t="str">
        <v>2.1.1.13.1.2     CONTRATO ADMINISTRATIVO DE SERVICIOS - TRANSITORIO</v>
      </c>
      <c r="C382" s="23" t="str">
        <v/>
      </c>
      <c r="D382" s="24">
        <v>1197600</v>
      </c>
      <c r="E382" s="24">
        <v>800000</v>
      </c>
      <c r="F382" s="24">
        <v>1997600</v>
      </c>
      <c r="G382" s="25">
        <v>670791.67</v>
      </c>
      <c r="H382" s="25">
        <v>110769.68</v>
      </c>
      <c r="I382" s="25">
        <v>257369.68</v>
      </c>
      <c r="J382" s="25">
        <v>257369.68</v>
      </c>
      <c r="K382" s="25">
        <v>257369.68</v>
      </c>
      <c r="L382" s="25">
        <v>257369.68</v>
      </c>
      <c r="M382" s="26">
        <f>IF(G382&gt;0,J382/G382,0)</f>
      </c>
    </row>
    <row r="383" ht="14.4" customHeight="1">
      <c r="A383" s="21" t="str">
        <v/>
      </c>
      <c r="B383" s="22" t="str">
        <v>2.1.1.8.1.1     OBREROS PERMANENTES</v>
      </c>
      <c r="C383" s="23" t="str">
        <v/>
      </c>
      <c r="D383" s="24">
        <v>272323</v>
      </c>
      <c r="E383" s="24">
        <v>31350</v>
      </c>
      <c r="F383" s="24">
        <v>303673</v>
      </c>
      <c r="G383" s="25">
        <v>269549.28</v>
      </c>
      <c r="H383" s="25">
        <v>42862.44</v>
      </c>
      <c r="I383" s="25">
        <v>45862.44</v>
      </c>
      <c r="J383" s="25">
        <v>45862.44</v>
      </c>
      <c r="K383" s="25">
        <v>45862.44</v>
      </c>
      <c r="L383" s="25">
        <v>45862.44</v>
      </c>
      <c r="M383" s="26">
        <f>IF(G383&gt;0,J383/G383,0)</f>
      </c>
    </row>
    <row r="384" ht="14.4" customHeight="1">
      <c r="A384" s="21" t="str">
        <v/>
      </c>
      <c r="B384" s="22" t="str">
        <v>2.1.1.8.2.1     OBREROS CON CONTRATO A PLAZO FIJO</v>
      </c>
      <c r="C384" s="23" t="str">
        <v/>
      </c>
      <c r="D384" s="24">
        <v>127350</v>
      </c>
      <c r="E384" s="24">
        <v>-127350</v>
      </c>
      <c r="F384" s="24">
        <v>0</v>
      </c>
      <c r="G384" s="25">
        <v>0</v>
      </c>
      <c r="H384" s="25">
        <v>0</v>
      </c>
      <c r="I384" s="25">
        <v>0</v>
      </c>
      <c r="J384" s="25">
        <v>0</v>
      </c>
      <c r="K384" s="25">
        <v>0</v>
      </c>
      <c r="L384" s="25">
        <v>0</v>
      </c>
      <c r="M384" s="26">
        <f>IF(G384&gt;0,J384/G384,0)</f>
      </c>
    </row>
    <row r="385" ht="14.4" customHeight="1">
      <c r="A385" s="21" t="str">
        <v/>
      </c>
      <c r="B385" s="22" t="str">
        <v>2.1.1.9.1.1     GRATIFICACIONES</v>
      </c>
      <c r="C385" s="23" t="str">
        <v/>
      </c>
      <c r="D385" s="24">
        <v>87008</v>
      </c>
      <c r="E385" s="24">
        <v>-26349</v>
      </c>
      <c r="F385" s="24">
        <v>60659</v>
      </c>
      <c r="G385" s="25">
        <v>58100.12</v>
      </c>
      <c r="H385" s="25">
        <v>0</v>
      </c>
      <c r="I385" s="25">
        <v>0</v>
      </c>
      <c r="J385" s="25">
        <v>0</v>
      </c>
      <c r="K385" s="25">
        <v>0</v>
      </c>
      <c r="L385" s="25">
        <v>0</v>
      </c>
      <c r="M385" s="26">
        <f>IF(G385&gt;0,J385/G385,0)</f>
      </c>
    </row>
    <row r="386" ht="14.4" customHeight="1">
      <c r="A386" s="21" t="str">
        <v/>
      </c>
      <c r="B386" s="22" t="str">
        <v>2.1.1.9.1.2     AGUINALDOS</v>
      </c>
      <c r="C386" s="23" t="str">
        <v/>
      </c>
      <c r="D386" s="24">
        <v>392080</v>
      </c>
      <c r="E386" s="24">
        <v>18813</v>
      </c>
      <c r="F386" s="24">
        <v>410893</v>
      </c>
      <c r="G386" s="25">
        <v>404982.5</v>
      </c>
      <c r="H386" s="25">
        <v>0</v>
      </c>
      <c r="I386" s="25">
        <v>0</v>
      </c>
      <c r="J386" s="25">
        <v>0</v>
      </c>
      <c r="K386" s="25">
        <v>0</v>
      </c>
      <c r="L386" s="25">
        <v>0</v>
      </c>
      <c r="M386" s="26">
        <f>IF(G386&gt;0,J386/G386,0)</f>
      </c>
    </row>
    <row r="387" ht="14.4" customHeight="1">
      <c r="A387" s="21" t="str">
        <v/>
      </c>
      <c r="B387" s="22" t="str">
        <v>2.1.1.9.1.3     BONIFICACION POR ESCOLARIDAD</v>
      </c>
      <c r="C387" s="23" t="str">
        <v/>
      </c>
      <c r="D387" s="24">
        <v>210649</v>
      </c>
      <c r="E387" s="24">
        <v>23099</v>
      </c>
      <c r="F387" s="24">
        <v>233748</v>
      </c>
      <c r="G387" s="25">
        <v>224335.69</v>
      </c>
      <c r="H387" s="25">
        <v>224335.69</v>
      </c>
      <c r="I387" s="25">
        <v>224335.69</v>
      </c>
      <c r="J387" s="25">
        <v>224335.69</v>
      </c>
      <c r="K387" s="25">
        <v>224335.69</v>
      </c>
      <c r="L387" s="25">
        <v>224335.69</v>
      </c>
      <c r="M387" s="26">
        <f>IF(G387&gt;0,J387/G387,0)</f>
      </c>
    </row>
    <row r="388" ht="14.4" customHeight="1">
      <c r="A388" s="21" t="str">
        <v/>
      </c>
      <c r="B388" s="22" t="str">
        <v>2.1.1.9.1.4     AGUINALDOS DE CONTRATO ADMINISTRATIVO DE SERVICIOS</v>
      </c>
      <c r="C388" s="23" t="str">
        <v/>
      </c>
      <c r="D388" s="24">
        <v>17400</v>
      </c>
      <c r="E388" s="24">
        <v>0</v>
      </c>
      <c r="F388" s="24">
        <v>17400</v>
      </c>
      <c r="G388" s="25">
        <v>6000</v>
      </c>
      <c r="H388" s="25">
        <v>0</v>
      </c>
      <c r="I388" s="25">
        <v>0</v>
      </c>
      <c r="J388" s="25">
        <v>0</v>
      </c>
      <c r="K388" s="25">
        <v>0</v>
      </c>
      <c r="L388" s="25">
        <v>0</v>
      </c>
      <c r="M388" s="26">
        <f>IF(G388&gt;0,J388/G388,0)</f>
      </c>
    </row>
    <row r="389" ht="14.4" customHeight="1">
      <c r="A389" s="21" t="str">
        <v/>
      </c>
      <c r="B389" s="22" t="str">
        <v>2.1.1.9.3.99     OTRAS OCASIONALES</v>
      </c>
      <c r="C389" s="23" t="str">
        <v/>
      </c>
      <c r="D389" s="24">
        <v>1189975</v>
      </c>
      <c r="E389" s="24">
        <v>-954194</v>
      </c>
      <c r="F389" s="24">
        <v>235781</v>
      </c>
      <c r="G389" s="25">
        <v>225544.67</v>
      </c>
      <c r="H389" s="25">
        <v>6500</v>
      </c>
      <c r="I389" s="25">
        <v>51905.41</v>
      </c>
      <c r="J389" s="25">
        <v>51905.41</v>
      </c>
      <c r="K389" s="25">
        <v>15070.02</v>
      </c>
      <c r="L389" s="25">
        <v>15070.02</v>
      </c>
      <c r="M389" s="26">
        <f>IF(G389&gt;0,J389/G389,0)</f>
      </c>
    </row>
    <row r="390" ht="14.4" customHeight="1">
      <c r="A390" s="21" t="str">
        <v/>
      </c>
      <c r="B390" s="22" t="str">
        <v>2.1.2.1.1.1     UNIFORME PERSONAL ADMINISTRATIVO</v>
      </c>
      <c r="C390" s="23" t="str">
        <v/>
      </c>
      <c r="D390" s="24">
        <v>30000</v>
      </c>
      <c r="E390" s="24">
        <v>0</v>
      </c>
      <c r="F390" s="24">
        <v>30000</v>
      </c>
      <c r="G390" s="25">
        <v>0</v>
      </c>
      <c r="H390" s="25">
        <v>0</v>
      </c>
      <c r="I390" s="25">
        <v>0</v>
      </c>
      <c r="J390" s="25">
        <v>0</v>
      </c>
      <c r="K390" s="25">
        <v>0</v>
      </c>
      <c r="L390" s="25">
        <v>0</v>
      </c>
      <c r="M390" s="26">
        <f>IF(G390&gt;0,J390/G390,0)</f>
      </c>
    </row>
    <row r="391" ht="14.4" customHeight="1">
      <c r="A391" s="21" t="str">
        <v/>
      </c>
      <c r="B391" s="22" t="str">
        <v>2.1.3.1.1.13     CONTRIBUCIONES A ESSALUD DEL PERSONAL ADMINISTRATIVO</v>
      </c>
      <c r="C391" s="23" t="str">
        <v/>
      </c>
      <c r="D391" s="24">
        <v>280784</v>
      </c>
      <c r="E391" s="24">
        <v>-6569</v>
      </c>
      <c r="F391" s="24">
        <v>274215</v>
      </c>
      <c r="G391" s="25">
        <v>264214.52</v>
      </c>
      <c r="H391" s="25">
        <v>48063.16</v>
      </c>
      <c r="I391" s="25">
        <v>67558.35</v>
      </c>
      <c r="J391" s="25">
        <v>67558.35</v>
      </c>
      <c r="K391" s="25">
        <v>67558.35</v>
      </c>
      <c r="L391" s="25">
        <v>67558.35</v>
      </c>
      <c r="M391" s="26">
        <f>IF(G391&gt;0,J391/G391,0)</f>
      </c>
    </row>
    <row r="392" ht="14.4" customHeight="1">
      <c r="A392" s="21" t="str">
        <v/>
      </c>
      <c r="B392" s="22" t="str">
        <v>2.1.3.1.1.15     CONTRIBUCIONES A ESSALUD DE CONTRATO ADMINISTRATIVO DE SERVICIOS</v>
      </c>
      <c r="C392" s="23" t="str">
        <v/>
      </c>
      <c r="D392" s="24">
        <v>76407</v>
      </c>
      <c r="E392" s="24">
        <v>0</v>
      </c>
      <c r="F392" s="24">
        <v>76407</v>
      </c>
      <c r="G392" s="25">
        <v>52917.25</v>
      </c>
      <c r="H392" s="25">
        <v>12841.12</v>
      </c>
      <c r="I392" s="25">
        <v>23048.02</v>
      </c>
      <c r="J392" s="25">
        <v>23048.02</v>
      </c>
      <c r="K392" s="25">
        <v>23048.02</v>
      </c>
      <c r="L392" s="25">
        <v>23048.02</v>
      </c>
      <c r="M392" s="26">
        <f>IF(G392&gt;0,J392/G392,0)</f>
      </c>
    </row>
    <row r="393" ht="14.4" customHeight="1">
      <c r="A393" s="21" t="str">
        <v/>
      </c>
      <c r="B393" s="22" t="str">
        <v>2.1.4.1.1.1     COMPENSACION POR TIEMPO DE SERVICIOS DEL REGIMEN LABORAL PRIVADO Y REGIMEN DEL</v>
      </c>
      <c r="C393" s="23" t="str">
        <v/>
      </c>
      <c r="D393" s="24">
        <v>46058</v>
      </c>
      <c r="E393" s="24">
        <v>466639</v>
      </c>
      <c r="F393" s="24">
        <v>512697</v>
      </c>
      <c r="G393" s="25">
        <v>46506.18</v>
      </c>
      <c r="H393" s="25">
        <v>0</v>
      </c>
      <c r="I393" s="25">
        <v>392997.86</v>
      </c>
      <c r="J393" s="25">
        <v>392997.86</v>
      </c>
      <c r="K393" s="25">
        <v>392997.86</v>
      </c>
      <c r="L393" s="25">
        <v>392997.86</v>
      </c>
      <c r="M393" s="26">
        <f>IF(G393&gt;0,J393/G393,0)</f>
      </c>
    </row>
    <row r="394" ht="14.4" customHeight="1">
      <c r="A394" s="21" t="str">
        <v/>
      </c>
      <c r="B394" s="22" t="str">
        <v>2.1.4.1.1.2     COMPENSACION POR TIEMPO DE SERVICIOS DE OTROS REGÍMENES</v>
      </c>
      <c r="C394" s="23" t="str">
        <v/>
      </c>
      <c r="D394" s="24">
        <v>74960</v>
      </c>
      <c r="E394" s="24">
        <v>-50000</v>
      </c>
      <c r="F394" s="24">
        <v>24960</v>
      </c>
      <c r="G394" s="25">
        <v>0</v>
      </c>
      <c r="H394" s="25">
        <v>0</v>
      </c>
      <c r="I394" s="25">
        <v>0</v>
      </c>
      <c r="J394" s="25">
        <v>0</v>
      </c>
      <c r="K394" s="25">
        <v>0</v>
      </c>
      <c r="L394" s="25">
        <v>0</v>
      </c>
      <c r="M394" s="26">
        <f>IF(G394&gt;0,J394/G394,0)</f>
      </c>
    </row>
    <row r="395" ht="14.4" customHeight="1">
      <c r="A395" s="21" t="str">
        <v/>
      </c>
      <c r="B395" s="22" t="str">
        <v>2.1.4.1.1.4     ASIGNACION POR CUMPLIR 25 O 30 AÑOS</v>
      </c>
      <c r="C395" s="23" t="str">
        <v/>
      </c>
      <c r="D395" s="24">
        <v>20977</v>
      </c>
      <c r="E395" s="24">
        <v>0</v>
      </c>
      <c r="F395" s="24">
        <v>20977</v>
      </c>
      <c r="G395" s="25">
        <v>7185.96</v>
      </c>
      <c r="H395" s="25">
        <v>0</v>
      </c>
      <c r="I395" s="25">
        <v>5139.26</v>
      </c>
      <c r="J395" s="25">
        <v>5139.26</v>
      </c>
      <c r="K395" s="25">
        <v>0</v>
      </c>
      <c r="L395" s="25">
        <v>0</v>
      </c>
      <c r="M395" s="26">
        <f>IF(G395&gt;0,J395/G395,0)</f>
      </c>
    </row>
    <row r="396" ht="14.4" customHeight="1">
      <c r="A396" s="21" t="str">
        <v/>
      </c>
      <c r="B396" s="22" t="str">
        <v>2.1.4.1.1.5     BONIFICACION ADICIONAL POR VACACIONES</v>
      </c>
      <c r="C396" s="23" t="str">
        <v/>
      </c>
      <c r="D396" s="24">
        <v>258759</v>
      </c>
      <c r="E396" s="24">
        <v>-29275</v>
      </c>
      <c r="F396" s="24">
        <v>229484</v>
      </c>
      <c r="G396" s="25">
        <v>218735.69</v>
      </c>
      <c r="H396" s="25">
        <v>66419.31</v>
      </c>
      <c r="I396" s="25">
        <v>66419.31</v>
      </c>
      <c r="J396" s="25">
        <v>66419.31</v>
      </c>
      <c r="K396" s="25">
        <v>66419.31</v>
      </c>
      <c r="L396" s="25">
        <v>66419.31</v>
      </c>
      <c r="M396" s="26">
        <f>IF(G396&gt;0,J396/G396,0)</f>
      </c>
    </row>
    <row r="397" ht="14.4" customHeight="1">
      <c r="A397" s="21" t="str">
        <v/>
      </c>
      <c r="B397" s="22" t="str">
        <v>2.1.4.1.1.6     COMPENSACION VACACIONAL (VACACIONES TRUNCAS) AL PERSONAL ACTIVO</v>
      </c>
      <c r="C397" s="23" t="str">
        <v/>
      </c>
      <c r="D397" s="24">
        <v>80143</v>
      </c>
      <c r="E397" s="24">
        <v>-10084</v>
      </c>
      <c r="F397" s="24">
        <v>70059</v>
      </c>
      <c r="G397" s="25">
        <v>44100</v>
      </c>
      <c r="H397" s="25">
        <v>40600</v>
      </c>
      <c r="I397" s="25">
        <v>40600</v>
      </c>
      <c r="J397" s="25">
        <v>40600</v>
      </c>
      <c r="K397" s="25">
        <v>40600</v>
      </c>
      <c r="L397" s="25">
        <v>40600</v>
      </c>
      <c r="M397" s="26">
        <f>IF(G397&gt;0,J397/G397,0)</f>
      </c>
    </row>
    <row r="398" ht="14.4" customHeight="1">
      <c r="A398" s="21" t="str">
        <v/>
      </c>
      <c r="B398" s="22" t="str">
        <v>2.1.5.1.1.1     PERSONAL ADMINISTRATIVO</v>
      </c>
      <c r="C398" s="23" t="str">
        <v/>
      </c>
      <c r="D398" s="24">
        <v>68000</v>
      </c>
      <c r="E398" s="24">
        <v>0</v>
      </c>
      <c r="F398" s="24">
        <v>68000</v>
      </c>
      <c r="G398" s="25">
        <v>0</v>
      </c>
      <c r="H398" s="25">
        <v>0</v>
      </c>
      <c r="I398" s="25">
        <v>0</v>
      </c>
      <c r="J398" s="25">
        <v>0</v>
      </c>
      <c r="K398" s="25">
        <v>0</v>
      </c>
      <c r="L398" s="25">
        <v>0</v>
      </c>
      <c r="M398" s="26">
        <f>IF(G398&gt;0,J398/G398,0)</f>
      </c>
    </row>
    <row r="399" ht="14.4" customHeight="1">
      <c r="A399" s="21" t="str">
        <v/>
      </c>
      <c r="B399" s="22" t="str">
        <v>2.1.5.1.1.2     PERSONAL DE REGÍMENES ESPECIALES Y OTROS REGÍMENES</v>
      </c>
      <c r="C399" s="23" t="str">
        <v/>
      </c>
      <c r="D399" s="24">
        <v>60000</v>
      </c>
      <c r="E399" s="24">
        <v>0</v>
      </c>
      <c r="F399" s="24">
        <v>60000</v>
      </c>
      <c r="G399" s="25">
        <v>0</v>
      </c>
      <c r="H399" s="25">
        <v>0</v>
      </c>
      <c r="I399" s="25">
        <v>0</v>
      </c>
      <c r="J399" s="25">
        <v>0</v>
      </c>
      <c r="K399" s="25">
        <v>0</v>
      </c>
      <c r="L399" s="25">
        <v>0</v>
      </c>
      <c r="M399" s="26">
        <f>IF(G399&gt;0,J399/G399,0)</f>
      </c>
    </row>
    <row r="400" ht="14.4" customHeight="1">
      <c r="A400" s="21" t="str">
        <v/>
      </c>
      <c r="B400" s="22" t="str">
        <v>2.2.2.1.3.1     GASTOS DE SEPELIO Y LUTO DEL PERSONAL ACTIVO</v>
      </c>
      <c r="C400" s="23" t="str">
        <v/>
      </c>
      <c r="D400" s="24">
        <v>80143</v>
      </c>
      <c r="E400" s="24">
        <v>0</v>
      </c>
      <c r="F400" s="24">
        <v>80143</v>
      </c>
      <c r="G400" s="25">
        <v>26928.52</v>
      </c>
      <c r="H400" s="25">
        <v>26928.52</v>
      </c>
      <c r="I400" s="25">
        <v>26928.52</v>
      </c>
      <c r="J400" s="25">
        <v>26928.52</v>
      </c>
      <c r="K400" s="25">
        <v>26928.52</v>
      </c>
      <c r="L400" s="25">
        <v>26928.52</v>
      </c>
      <c r="M400" s="26">
        <f>IF(G400&gt;0,J400/G400,0)</f>
      </c>
    </row>
    <row r="401" ht="14.4" customHeight="1">
      <c r="A401" s="21" t="str">
        <v/>
      </c>
      <c r="B401" s="22" t="str">
        <v>2.3.1.1.1.1     ALIMENTOS Y BEBIDAS PARA CONSUMO HUMANO</v>
      </c>
      <c r="C401" s="23" t="str">
        <v/>
      </c>
      <c r="D401" s="24">
        <v>7757</v>
      </c>
      <c r="E401" s="24">
        <v>0</v>
      </c>
      <c r="F401" s="24">
        <v>7757</v>
      </c>
      <c r="G401" s="25">
        <v>4872</v>
      </c>
      <c r="H401" s="25">
        <v>4872</v>
      </c>
      <c r="I401" s="25">
        <v>5322</v>
      </c>
      <c r="J401" s="25">
        <v>5322</v>
      </c>
      <c r="K401" s="25">
        <v>4872</v>
      </c>
      <c r="L401" s="25">
        <v>4872</v>
      </c>
      <c r="M401" s="26">
        <f>IF(G401&gt;0,J401/G401,0)</f>
      </c>
    </row>
    <row r="402" ht="14.4" customHeight="1">
      <c r="A402" s="21" t="str">
        <v/>
      </c>
      <c r="B402" s="22" t="str">
        <v>2.3.1.10.1.3     ANIMALES PARA ESTUDIO</v>
      </c>
      <c r="C402" s="23" t="str">
        <v/>
      </c>
      <c r="D402" s="24">
        <v>18800</v>
      </c>
      <c r="E402" s="24">
        <v>0</v>
      </c>
      <c r="F402" s="24">
        <v>18800</v>
      </c>
      <c r="G402" s="25">
        <v>0</v>
      </c>
      <c r="H402" s="25">
        <v>0</v>
      </c>
      <c r="I402" s="25">
        <v>0</v>
      </c>
      <c r="J402" s="25">
        <v>0</v>
      </c>
      <c r="K402" s="25">
        <v>0</v>
      </c>
      <c r="L402" s="25">
        <v>0</v>
      </c>
      <c r="M402" s="26">
        <f>IF(G402&gt;0,J402/G402,0)</f>
      </c>
    </row>
    <row r="403" ht="14.4" customHeight="1">
      <c r="A403" s="21" t="str">
        <v/>
      </c>
      <c r="B403" s="22" t="str">
        <v>2.3.1.11.1.2     PARA VEHICULOS</v>
      </c>
      <c r="C403" s="23" t="str">
        <v/>
      </c>
      <c r="D403" s="24">
        <v>66978</v>
      </c>
      <c r="E403" s="24">
        <v>0</v>
      </c>
      <c r="F403" s="24">
        <v>66978</v>
      </c>
      <c r="G403" s="25">
        <v>10730</v>
      </c>
      <c r="H403" s="25">
        <v>10730</v>
      </c>
      <c r="I403" s="25">
        <v>10730</v>
      </c>
      <c r="J403" s="25">
        <v>10730</v>
      </c>
      <c r="K403" s="25">
        <v>10730</v>
      </c>
      <c r="L403" s="25">
        <v>10730</v>
      </c>
      <c r="M403" s="26">
        <f>IF(G403&gt;0,J403/G403,0)</f>
      </c>
    </row>
    <row r="404" ht="14.4" customHeight="1">
      <c r="A404" s="21" t="str">
        <v/>
      </c>
      <c r="B404" s="22" t="str">
        <v>2.3.1.11.1.3     PARA MOBILIARIO Y SIMILARES</v>
      </c>
      <c r="C404" s="23" t="str">
        <v/>
      </c>
      <c r="D404" s="24">
        <v>200</v>
      </c>
      <c r="E404" s="24">
        <v>0</v>
      </c>
      <c r="F404" s="24">
        <v>200</v>
      </c>
      <c r="G404" s="25">
        <v>0</v>
      </c>
      <c r="H404" s="25">
        <v>0</v>
      </c>
      <c r="I404" s="25">
        <v>0</v>
      </c>
      <c r="J404" s="25">
        <v>0</v>
      </c>
      <c r="K404" s="25">
        <v>0</v>
      </c>
      <c r="L404" s="25">
        <v>0</v>
      </c>
      <c r="M404" s="26">
        <f>IF(G404&gt;0,J404/G404,0)</f>
      </c>
    </row>
    <row r="405" ht="14.4" customHeight="1">
      <c r="A405" s="21" t="str">
        <v/>
      </c>
      <c r="B405" s="22" t="str">
        <v>2.3.1.11.1.4     PARA MAQUINARIAS Y EQUIPOS</v>
      </c>
      <c r="C405" s="23" t="str">
        <v/>
      </c>
      <c r="D405" s="24">
        <v>50000</v>
      </c>
      <c r="E405" s="24">
        <v>0</v>
      </c>
      <c r="F405" s="24">
        <v>50000</v>
      </c>
      <c r="G405" s="25">
        <v>23186</v>
      </c>
      <c r="H405" s="25">
        <v>23186</v>
      </c>
      <c r="I405" s="25">
        <v>23186</v>
      </c>
      <c r="J405" s="25">
        <v>23186</v>
      </c>
      <c r="K405" s="25">
        <v>23186</v>
      </c>
      <c r="L405" s="25">
        <v>23186</v>
      </c>
      <c r="M405" s="26">
        <f>IF(G405&gt;0,J405/G405,0)</f>
      </c>
    </row>
    <row r="406" ht="14.4" customHeight="1">
      <c r="A406" s="21" t="str">
        <v/>
      </c>
      <c r="B406" s="22" t="str">
        <v>2.3.1.11.1.5     OTROS MATERIALES DE MANTENIMIENTO</v>
      </c>
      <c r="C406" s="23" t="str">
        <v/>
      </c>
      <c r="D406" s="24">
        <v>8300</v>
      </c>
      <c r="E406" s="24">
        <v>0</v>
      </c>
      <c r="F406" s="24">
        <v>8300</v>
      </c>
      <c r="G406" s="25">
        <v>0</v>
      </c>
      <c r="H406" s="25">
        <v>0</v>
      </c>
      <c r="I406" s="25">
        <v>0</v>
      </c>
      <c r="J406" s="25">
        <v>0</v>
      </c>
      <c r="K406" s="25">
        <v>0</v>
      </c>
      <c r="L406" s="25">
        <v>0</v>
      </c>
      <c r="M406" s="26">
        <f>IF(G406&gt;0,J406/G406,0)</f>
      </c>
    </row>
    <row r="407" ht="14.4" customHeight="1">
      <c r="A407" s="21" t="str">
        <v/>
      </c>
      <c r="B407" s="22" t="str">
        <v>2.3.1.11.1.6     MATERIALES DE  ACONDICIONAMIENTO</v>
      </c>
      <c r="C407" s="23" t="str">
        <v/>
      </c>
      <c r="D407" s="24">
        <v>3792</v>
      </c>
      <c r="E407" s="24">
        <v>0</v>
      </c>
      <c r="F407" s="24">
        <v>3792</v>
      </c>
      <c r="G407" s="25">
        <v>0</v>
      </c>
      <c r="H407" s="25">
        <v>0</v>
      </c>
      <c r="I407" s="25">
        <v>0</v>
      </c>
      <c r="J407" s="25">
        <v>0</v>
      </c>
      <c r="K407" s="25">
        <v>0</v>
      </c>
      <c r="L407" s="25">
        <v>0</v>
      </c>
      <c r="M407" s="26">
        <f>IF(G407&gt;0,J407/G407,0)</f>
      </c>
    </row>
    <row r="408" ht="14.4" customHeight="1">
      <c r="A408" s="21" t="str">
        <v/>
      </c>
      <c r="B408" s="22" t="str">
        <v>2.3.1.2.1.1     VESTUARIO, ACCESORIOS Y PRENDAS DIVERSAS</v>
      </c>
      <c r="C408" s="23" t="str">
        <v/>
      </c>
      <c r="D408" s="24">
        <v>20000</v>
      </c>
      <c r="E408" s="24">
        <v>-20000</v>
      </c>
      <c r="F408" s="24">
        <v>0</v>
      </c>
      <c r="G408" s="25">
        <v>0</v>
      </c>
      <c r="H408" s="25">
        <v>0</v>
      </c>
      <c r="I408" s="25">
        <v>0</v>
      </c>
      <c r="J408" s="25">
        <v>0</v>
      </c>
      <c r="K408" s="25">
        <v>0</v>
      </c>
      <c r="L408" s="25">
        <v>0</v>
      </c>
      <c r="M408" s="26">
        <f>IF(G408&gt;0,J408/G408,0)</f>
      </c>
    </row>
    <row r="409" ht="14.4" customHeight="1">
      <c r="A409" s="21" t="str">
        <v/>
      </c>
      <c r="B409" s="22" t="str">
        <v>2.3.1.2.1.2     TEXTILES Y ACABADOS TEXTILES</v>
      </c>
      <c r="C409" s="23" t="str">
        <v/>
      </c>
      <c r="D409" s="24">
        <v>4650</v>
      </c>
      <c r="E409" s="24">
        <v>0</v>
      </c>
      <c r="F409" s="24">
        <v>4650</v>
      </c>
      <c r="G409" s="25">
        <v>0</v>
      </c>
      <c r="H409" s="25">
        <v>0</v>
      </c>
      <c r="I409" s="25">
        <v>0</v>
      </c>
      <c r="J409" s="25">
        <v>0</v>
      </c>
      <c r="K409" s="25">
        <v>0</v>
      </c>
      <c r="L409" s="25">
        <v>0</v>
      </c>
      <c r="M409" s="26">
        <f>IF(G409&gt;0,J409/G409,0)</f>
      </c>
    </row>
    <row r="410" ht="14.4" customHeight="1">
      <c r="A410" s="21" t="str">
        <v/>
      </c>
      <c r="B410" s="22" t="str">
        <v>2.3.1.2.1.3     CALZADO</v>
      </c>
      <c r="C410" s="23" t="str">
        <v/>
      </c>
      <c r="D410" s="24">
        <v>7550</v>
      </c>
      <c r="E410" s="24">
        <v>0</v>
      </c>
      <c r="F410" s="24">
        <v>7550</v>
      </c>
      <c r="G410" s="25">
        <v>0</v>
      </c>
      <c r="H410" s="25">
        <v>0</v>
      </c>
      <c r="I410" s="25">
        <v>0</v>
      </c>
      <c r="J410" s="25">
        <v>0</v>
      </c>
      <c r="K410" s="25">
        <v>0</v>
      </c>
      <c r="L410" s="25">
        <v>0</v>
      </c>
      <c r="M410" s="26">
        <f>IF(G410&gt;0,J410/G410,0)</f>
      </c>
    </row>
    <row r="411" ht="14.4" customHeight="1">
      <c r="A411" s="21" t="str">
        <v/>
      </c>
      <c r="B411" s="22" t="str">
        <v>2.3.1.3.1.1     COMBUSTIBLES Y CARBURANTES</v>
      </c>
      <c r="C411" s="23" t="str">
        <v/>
      </c>
      <c r="D411" s="24">
        <v>535000</v>
      </c>
      <c r="E411" s="24">
        <v>357799</v>
      </c>
      <c r="F411" s="24">
        <v>892799</v>
      </c>
      <c r="G411" s="25">
        <v>432231.99</v>
      </c>
      <c r="H411" s="25">
        <v>236497</v>
      </c>
      <c r="I411" s="25">
        <v>203717</v>
      </c>
      <c r="J411" s="25">
        <v>203717</v>
      </c>
      <c r="K411" s="25">
        <v>203717</v>
      </c>
      <c r="L411" s="25">
        <v>203717</v>
      </c>
      <c r="M411" s="26">
        <f>IF(G411&gt;0,J411/G411,0)</f>
      </c>
    </row>
    <row r="412" ht="14.4" customHeight="1">
      <c r="A412" s="21" t="str">
        <v/>
      </c>
      <c r="B412" s="22" t="str">
        <v>2.3.1.3.1.3     LUBRICANTES, GRASAS Y AFINES</v>
      </c>
      <c r="C412" s="23" t="str">
        <v/>
      </c>
      <c r="D412" s="24">
        <v>24872</v>
      </c>
      <c r="E412" s="24">
        <v>145128</v>
      </c>
      <c r="F412" s="24">
        <v>170000</v>
      </c>
      <c r="G412" s="25">
        <v>170000</v>
      </c>
      <c r="H412" s="25">
        <v>170000</v>
      </c>
      <c r="I412" s="25">
        <v>170000</v>
      </c>
      <c r="J412" s="25">
        <v>170000</v>
      </c>
      <c r="K412" s="25">
        <v>170000</v>
      </c>
      <c r="L412" s="25">
        <v>170000</v>
      </c>
      <c r="M412" s="26">
        <f>IF(G412&gt;0,J412/G412,0)</f>
      </c>
    </row>
    <row r="413" ht="14.4" customHeight="1">
      <c r="A413" s="21" t="str">
        <v/>
      </c>
      <c r="B413" s="22" t="str">
        <v>2.3.1.5.1.1     REPUESTOS Y ACCESORIOS</v>
      </c>
      <c r="C413" s="23" t="str">
        <v/>
      </c>
      <c r="D413" s="24">
        <v>20000</v>
      </c>
      <c r="E413" s="24">
        <v>-10000</v>
      </c>
      <c r="F413" s="24">
        <v>10000</v>
      </c>
      <c r="G413" s="25">
        <v>0</v>
      </c>
      <c r="H413" s="25">
        <v>0</v>
      </c>
      <c r="I413" s="25">
        <v>0</v>
      </c>
      <c r="J413" s="25">
        <v>0</v>
      </c>
      <c r="K413" s="25">
        <v>0</v>
      </c>
      <c r="L413" s="25">
        <v>0</v>
      </c>
      <c r="M413" s="26">
        <f>IF(G413&gt;0,J413/G413,0)</f>
      </c>
    </row>
    <row r="414" ht="14.4" customHeight="1">
      <c r="A414" s="21" t="str">
        <v/>
      </c>
      <c r="B414" s="22" t="str">
        <v>2.3.1.5.1.2     PAPELERIA EN GENERAL, UTILES Y MATERIALES DE OFICINA</v>
      </c>
      <c r="C414" s="23" t="str">
        <v/>
      </c>
      <c r="D414" s="24">
        <v>331485</v>
      </c>
      <c r="E414" s="24">
        <v>-167930</v>
      </c>
      <c r="F414" s="24">
        <v>163555</v>
      </c>
      <c r="G414" s="25">
        <v>63171</v>
      </c>
      <c r="H414" s="25">
        <v>1400</v>
      </c>
      <c r="I414" s="25">
        <v>3110</v>
      </c>
      <c r="J414" s="25">
        <v>3110</v>
      </c>
      <c r="K414" s="25">
        <v>3110</v>
      </c>
      <c r="L414" s="25">
        <v>3110</v>
      </c>
      <c r="M414" s="26">
        <f>IF(G414&gt;0,J414/G414,0)</f>
      </c>
    </row>
    <row r="415" ht="14.4" customHeight="1">
      <c r="A415" s="21" t="str">
        <v/>
      </c>
      <c r="B415" s="22" t="str">
        <v>2.3.1.5.2.1     AGROPECUARIO, GANADERO Y DE JARDINERIA</v>
      </c>
      <c r="C415" s="23" t="str">
        <v/>
      </c>
      <c r="D415" s="24">
        <v>1215</v>
      </c>
      <c r="E415" s="24">
        <v>5500</v>
      </c>
      <c r="F415" s="24">
        <v>6715</v>
      </c>
      <c r="G415" s="25">
        <v>0</v>
      </c>
      <c r="H415" s="25">
        <v>0</v>
      </c>
      <c r="I415" s="25">
        <v>0</v>
      </c>
      <c r="J415" s="25">
        <v>0</v>
      </c>
      <c r="K415" s="25">
        <v>0</v>
      </c>
      <c r="L415" s="25">
        <v>0</v>
      </c>
      <c r="M415" s="26">
        <f>IF(G415&gt;0,J415/G415,0)</f>
      </c>
    </row>
    <row r="416" ht="14.4" customHeight="1">
      <c r="A416" s="21" t="str">
        <v/>
      </c>
      <c r="B416" s="22" t="str">
        <v>2.3.1.5.3.1     ASEO, LIMPIEZA Y TOCADOR</v>
      </c>
      <c r="C416" s="23" t="str">
        <v/>
      </c>
      <c r="D416" s="24">
        <v>60424</v>
      </c>
      <c r="E416" s="24">
        <v>-12799</v>
      </c>
      <c r="F416" s="24">
        <v>47625</v>
      </c>
      <c r="G416" s="25">
        <v>8919</v>
      </c>
      <c r="H416" s="25">
        <v>8919</v>
      </c>
      <c r="I416" s="25">
        <v>17692</v>
      </c>
      <c r="J416" s="25">
        <v>17692</v>
      </c>
      <c r="K416" s="25">
        <v>17692</v>
      </c>
      <c r="L416" s="25">
        <v>17692</v>
      </c>
      <c r="M416" s="26">
        <f>IF(G416&gt;0,J416/G416,0)</f>
      </c>
    </row>
    <row r="417" ht="14.4" customHeight="1">
      <c r="A417" s="21" t="str">
        <v/>
      </c>
      <c r="B417" s="22" t="str">
        <v>2.3.1.5.3.2     DE COCINA, COMEDOR Y CAFETERIA</v>
      </c>
      <c r="C417" s="23" t="str">
        <v/>
      </c>
      <c r="D417" s="24">
        <v>2000</v>
      </c>
      <c r="E417" s="24">
        <v>0</v>
      </c>
      <c r="F417" s="24">
        <v>2000</v>
      </c>
      <c r="G417" s="25">
        <v>0</v>
      </c>
      <c r="H417" s="25">
        <v>0</v>
      </c>
      <c r="I417" s="25">
        <v>0</v>
      </c>
      <c r="J417" s="25">
        <v>0</v>
      </c>
      <c r="K417" s="25">
        <v>0</v>
      </c>
      <c r="L417" s="25">
        <v>0</v>
      </c>
      <c r="M417" s="26">
        <f>IF(G417&gt;0,J417/G417,0)</f>
      </c>
    </row>
    <row r="418" ht="14.4" customHeight="1">
      <c r="A418" s="21" t="str">
        <v/>
      </c>
      <c r="B418" s="22" t="str">
        <v>2.3.1.5.4.1     ELECTRICIDAD, ILUMINACION Y ELECTRONICA</v>
      </c>
      <c r="C418" s="23" t="str">
        <v/>
      </c>
      <c r="D418" s="24">
        <v>15000</v>
      </c>
      <c r="E418" s="24">
        <v>0</v>
      </c>
      <c r="F418" s="24">
        <v>15000</v>
      </c>
      <c r="G418" s="25">
        <v>0</v>
      </c>
      <c r="H418" s="25">
        <v>0</v>
      </c>
      <c r="I418" s="25">
        <v>1200</v>
      </c>
      <c r="J418" s="25">
        <v>0</v>
      </c>
      <c r="K418" s="25">
        <v>0</v>
      </c>
      <c r="L418" s="25">
        <v>0</v>
      </c>
      <c r="M418" s="26">
        <f>IF(G418&gt;0,J418/G418,0)</f>
      </c>
    </row>
    <row r="419" ht="14.4" customHeight="1">
      <c r="A419" s="21" t="str">
        <v/>
      </c>
      <c r="B419" s="22" t="str">
        <v>2.3.1.6.1.1     DE VEHICULOS</v>
      </c>
      <c r="C419" s="23" t="str">
        <v/>
      </c>
      <c r="D419" s="24">
        <v>90000</v>
      </c>
      <c r="E419" s="24">
        <v>0</v>
      </c>
      <c r="F419" s="24">
        <v>90000</v>
      </c>
      <c r="G419" s="25">
        <v>26300</v>
      </c>
      <c r="H419" s="25">
        <v>26300</v>
      </c>
      <c r="I419" s="25">
        <v>26300</v>
      </c>
      <c r="J419" s="25">
        <v>26300</v>
      </c>
      <c r="K419" s="25">
        <v>26300</v>
      </c>
      <c r="L419" s="25">
        <v>26300</v>
      </c>
      <c r="M419" s="26">
        <f>IF(G419&gt;0,J419/G419,0)</f>
      </c>
    </row>
    <row r="420" ht="14.4" customHeight="1">
      <c r="A420" s="21" t="str">
        <v/>
      </c>
      <c r="B420" s="22" t="str">
        <v>2.3.1.6.1.2     DE COMUNICACIONES Y TELECOMUNICACIONES</v>
      </c>
      <c r="C420" s="23" t="str">
        <v/>
      </c>
      <c r="D420" s="24">
        <v>10000</v>
      </c>
      <c r="E420" s="24">
        <v>0</v>
      </c>
      <c r="F420" s="24">
        <v>10000</v>
      </c>
      <c r="G420" s="25">
        <v>0</v>
      </c>
      <c r="H420" s="25">
        <v>0</v>
      </c>
      <c r="I420" s="25">
        <v>0</v>
      </c>
      <c r="J420" s="25">
        <v>0</v>
      </c>
      <c r="K420" s="25">
        <v>0</v>
      </c>
      <c r="L420" s="25">
        <v>0</v>
      </c>
      <c r="M420" s="26">
        <f>IF(G420&gt;0,J420/G420,0)</f>
      </c>
    </row>
    <row r="421" ht="14.4" customHeight="1">
      <c r="A421" s="21" t="str">
        <v/>
      </c>
      <c r="B421" s="22" t="str">
        <v>2.3.1.6.1.3     DE CONSTRUCCION Y MAQUINAS</v>
      </c>
      <c r="C421" s="23" t="str">
        <v/>
      </c>
      <c r="D421" s="24">
        <v>27400</v>
      </c>
      <c r="E421" s="24">
        <v>0</v>
      </c>
      <c r="F421" s="24">
        <v>27400</v>
      </c>
      <c r="G421" s="25">
        <v>0</v>
      </c>
      <c r="H421" s="25">
        <v>0</v>
      </c>
      <c r="I421" s="25">
        <v>7780</v>
      </c>
      <c r="J421" s="25">
        <v>7780</v>
      </c>
      <c r="K421" s="25">
        <v>7780</v>
      </c>
      <c r="L421" s="25">
        <v>7780</v>
      </c>
      <c r="M421" s="26">
        <f>IF(G421&gt;0,J421/G421,0)</f>
      </c>
    </row>
    <row r="422" ht="14.4" customHeight="1">
      <c r="A422" s="21" t="str">
        <v/>
      </c>
      <c r="B422" s="22" t="str">
        <v>2.3.1.6.1.4     DE SEGURIDAD</v>
      </c>
      <c r="C422" s="23" t="str">
        <v/>
      </c>
      <c r="D422" s="24">
        <v>10030</v>
      </c>
      <c r="E422" s="24">
        <v>0</v>
      </c>
      <c r="F422" s="24">
        <v>10030</v>
      </c>
      <c r="G422" s="25">
        <v>10030</v>
      </c>
      <c r="H422" s="25">
        <v>10030</v>
      </c>
      <c r="I422" s="25">
        <v>10030</v>
      </c>
      <c r="J422" s="25">
        <v>10030</v>
      </c>
      <c r="K422" s="25">
        <v>10030</v>
      </c>
      <c r="L422" s="25">
        <v>10030</v>
      </c>
      <c r="M422" s="26">
        <f>IF(G422&gt;0,J422/G422,0)</f>
      </c>
    </row>
    <row r="423" ht="14.4" customHeight="1">
      <c r="A423" s="21" t="str">
        <v/>
      </c>
      <c r="B423" s="22" t="str">
        <v>2.3.1.6.1.99     OTROS ACCESORIOS Y REPUESTOS</v>
      </c>
      <c r="C423" s="23" t="str">
        <v/>
      </c>
      <c r="D423" s="24">
        <v>1680</v>
      </c>
      <c r="E423" s="24">
        <v>0</v>
      </c>
      <c r="F423" s="24">
        <v>1680</v>
      </c>
      <c r="G423" s="25">
        <v>0</v>
      </c>
      <c r="H423" s="25">
        <v>0</v>
      </c>
      <c r="I423" s="25">
        <v>1680</v>
      </c>
      <c r="J423" s="25">
        <v>0</v>
      </c>
      <c r="K423" s="25">
        <v>0</v>
      </c>
      <c r="L423" s="25">
        <v>0</v>
      </c>
      <c r="M423" s="26">
        <f>IF(G423&gt;0,J423/G423,0)</f>
      </c>
    </row>
    <row r="424" ht="14.4" customHeight="1">
      <c r="A424" s="21" t="str">
        <v/>
      </c>
      <c r="B424" s="22" t="str">
        <v>2.3.1.8.1.2     MEDICAMENTOS</v>
      </c>
      <c r="C424" s="23" t="str">
        <v/>
      </c>
      <c r="D424" s="24">
        <v>476</v>
      </c>
      <c r="E424" s="24">
        <v>0</v>
      </c>
      <c r="F424" s="24">
        <v>476</v>
      </c>
      <c r="G424" s="25">
        <v>0</v>
      </c>
      <c r="H424" s="25">
        <v>0</v>
      </c>
      <c r="I424" s="25">
        <v>0</v>
      </c>
      <c r="J424" s="25">
        <v>0</v>
      </c>
      <c r="K424" s="25">
        <v>0</v>
      </c>
      <c r="L424" s="25">
        <v>0</v>
      </c>
      <c r="M424" s="26">
        <f>IF(G424&gt;0,J424/G424,0)</f>
      </c>
    </row>
    <row r="425" ht="14.4" customHeight="1">
      <c r="A425" s="21" t="str">
        <v/>
      </c>
      <c r="B425" s="22" t="str">
        <v>2.3.1.8.2.1     MATERIAL, INSUMOS, INSTRUMENTAL Y ACCESORIOS  MEDICOS, QUIRURGICOS, ODONTOLOGI</v>
      </c>
      <c r="C425" s="23" t="str">
        <v/>
      </c>
      <c r="D425" s="24">
        <v>4704</v>
      </c>
      <c r="E425" s="24">
        <v>0</v>
      </c>
      <c r="F425" s="24">
        <v>4704</v>
      </c>
      <c r="G425" s="25">
        <v>3400</v>
      </c>
      <c r="H425" s="25">
        <v>3400</v>
      </c>
      <c r="I425" s="25">
        <v>3400</v>
      </c>
      <c r="J425" s="25">
        <v>3400</v>
      </c>
      <c r="K425" s="25">
        <v>3400</v>
      </c>
      <c r="L425" s="25">
        <v>3400</v>
      </c>
      <c r="M425" s="26">
        <f>IF(G425&gt;0,J425/G425,0)</f>
      </c>
    </row>
    <row r="426" ht="14.4" customHeight="1">
      <c r="A426" s="21" t="str">
        <v/>
      </c>
      <c r="B426" s="22" t="str">
        <v>2.3.1.99.1.1     HERRAMIENTAS</v>
      </c>
      <c r="C426" s="23" t="str">
        <v/>
      </c>
      <c r="D426" s="24">
        <v>5000</v>
      </c>
      <c r="E426" s="24">
        <v>0</v>
      </c>
      <c r="F426" s="24">
        <v>5000</v>
      </c>
      <c r="G426" s="25">
        <v>0</v>
      </c>
      <c r="H426" s="25">
        <v>0</v>
      </c>
      <c r="I426" s="25">
        <v>0</v>
      </c>
      <c r="J426" s="25">
        <v>0</v>
      </c>
      <c r="K426" s="25">
        <v>0</v>
      </c>
      <c r="L426" s="25">
        <v>0</v>
      </c>
      <c r="M426" s="26">
        <f>IF(G426&gt;0,J426/G426,0)</f>
      </c>
    </row>
    <row r="427" ht="14.4" customHeight="1">
      <c r="A427" s="21" t="str">
        <v/>
      </c>
      <c r="B427" s="22" t="str">
        <v>2.3.1.99.1.4     SIMBOLOS, DISTINTIVOS Y CONDECORACIONES</v>
      </c>
      <c r="C427" s="23" t="str">
        <v/>
      </c>
      <c r="D427" s="24">
        <v>5000</v>
      </c>
      <c r="E427" s="24">
        <v>0</v>
      </c>
      <c r="F427" s="24">
        <v>5000</v>
      </c>
      <c r="G427" s="25">
        <v>0</v>
      </c>
      <c r="H427" s="25">
        <v>0</v>
      </c>
      <c r="I427" s="25">
        <v>0</v>
      </c>
      <c r="J427" s="25">
        <v>0</v>
      </c>
      <c r="K427" s="25">
        <v>0</v>
      </c>
      <c r="L427" s="25">
        <v>0</v>
      </c>
      <c r="M427" s="26">
        <f>IF(G427&gt;0,J427/G427,0)</f>
      </c>
    </row>
    <row r="428" ht="14.4" customHeight="1">
      <c r="A428" s="21" t="str">
        <v/>
      </c>
      <c r="B428" s="22" t="str">
        <v>2.3.1.99.1.99     OTROS BIENES</v>
      </c>
      <c r="C428" s="23" t="str">
        <v/>
      </c>
      <c r="D428" s="24">
        <v>104200</v>
      </c>
      <c r="E428" s="24">
        <v>-8903</v>
      </c>
      <c r="F428" s="24">
        <v>95297</v>
      </c>
      <c r="G428" s="25">
        <v>22209.6</v>
      </c>
      <c r="H428" s="25">
        <v>22209.6</v>
      </c>
      <c r="I428" s="25">
        <v>32209.6</v>
      </c>
      <c r="J428" s="25">
        <v>32209.6</v>
      </c>
      <c r="K428" s="25">
        <v>32209.6</v>
      </c>
      <c r="L428" s="25">
        <v>32209.6</v>
      </c>
      <c r="M428" s="26">
        <f>IF(G428&gt;0,J428/G428,0)</f>
      </c>
    </row>
    <row r="429" ht="14.4" customHeight="1">
      <c r="A429" s="21" t="str">
        <v/>
      </c>
      <c r="B429" s="22" t="str">
        <v>2.3.2.1.2.1     PASAJES Y GASTOS DE TRANSPORTE</v>
      </c>
      <c r="C429" s="23" t="str">
        <v/>
      </c>
      <c r="D429" s="24">
        <v>25000</v>
      </c>
      <c r="E429" s="24">
        <v>0</v>
      </c>
      <c r="F429" s="24">
        <v>25000</v>
      </c>
      <c r="G429" s="25">
        <v>7556</v>
      </c>
      <c r="H429" s="25">
        <v>7556</v>
      </c>
      <c r="I429" s="25">
        <v>8116</v>
      </c>
      <c r="J429" s="25">
        <v>8116</v>
      </c>
      <c r="K429" s="25">
        <v>6866</v>
      </c>
      <c r="L429" s="25">
        <v>6866</v>
      </c>
      <c r="M429" s="26">
        <f>IF(G429&gt;0,J429/G429,0)</f>
      </c>
    </row>
    <row r="430" ht="14.4" customHeight="1">
      <c r="A430" s="21" t="str">
        <v/>
      </c>
      <c r="B430" s="22" t="str">
        <v>2.3.2.1.2.2     VIATICOS Y ASIGNACIONES POR COMISION DE SERVICIO</v>
      </c>
      <c r="C430" s="23" t="str">
        <v/>
      </c>
      <c r="D430" s="24">
        <v>40000</v>
      </c>
      <c r="E430" s="24">
        <v>-20000</v>
      </c>
      <c r="F430" s="24">
        <v>20000</v>
      </c>
      <c r="G430" s="25">
        <v>2480</v>
      </c>
      <c r="H430" s="25">
        <v>2480</v>
      </c>
      <c r="I430" s="25">
        <v>6661</v>
      </c>
      <c r="J430" s="25">
        <v>6661</v>
      </c>
      <c r="K430" s="25">
        <v>4421</v>
      </c>
      <c r="L430" s="25">
        <v>4421</v>
      </c>
      <c r="M430" s="26">
        <f>IF(G430&gt;0,J430/G430,0)</f>
      </c>
    </row>
    <row r="431" ht="14.4" customHeight="1">
      <c r="A431" s="21" t="str">
        <v/>
      </c>
      <c r="B431" s="22" t="str">
        <v>2.3.2.1.2.99     OTROS GASTOS</v>
      </c>
      <c r="C431" s="23" t="str">
        <v/>
      </c>
      <c r="D431" s="24">
        <v>15000</v>
      </c>
      <c r="E431" s="24">
        <v>-5000</v>
      </c>
      <c r="F431" s="24">
        <v>10000</v>
      </c>
      <c r="G431" s="25">
        <v>0</v>
      </c>
      <c r="H431" s="25">
        <v>0</v>
      </c>
      <c r="I431" s="25">
        <v>0</v>
      </c>
      <c r="J431" s="25">
        <v>0</v>
      </c>
      <c r="K431" s="25">
        <v>0</v>
      </c>
      <c r="L431" s="25">
        <v>0</v>
      </c>
      <c r="M431" s="26">
        <f>IF(G431&gt;0,J431/G431,0)</f>
      </c>
    </row>
    <row r="432" ht="14.4" customHeight="1">
      <c r="A432" s="21" t="str">
        <v/>
      </c>
      <c r="B432" s="22" t="str">
        <v>2.3.2.2.1.1     SERVICIO DE SUMINISTRO DE ENERGIA ELECTRICA</v>
      </c>
      <c r="C432" s="23" t="str">
        <v/>
      </c>
      <c r="D432" s="24">
        <v>144000</v>
      </c>
      <c r="E432" s="24">
        <v>20000</v>
      </c>
      <c r="F432" s="24">
        <v>164000</v>
      </c>
      <c r="G432" s="25">
        <v>144000</v>
      </c>
      <c r="H432" s="25">
        <v>144000</v>
      </c>
      <c r="I432" s="25">
        <v>58454.4</v>
      </c>
      <c r="J432" s="25">
        <v>58454.4</v>
      </c>
      <c r="K432" s="25">
        <v>58454.4</v>
      </c>
      <c r="L432" s="25">
        <v>58454.4</v>
      </c>
      <c r="M432" s="26">
        <f>IF(G432&gt;0,J432/G432,0)</f>
      </c>
    </row>
    <row r="433" ht="14.4" customHeight="1">
      <c r="A433" s="21" t="str">
        <v/>
      </c>
      <c r="B433" s="22" t="str">
        <v>2.3.2.2.2.2     SERVICIO DE TELEFONIA FIJA</v>
      </c>
      <c r="C433" s="23" t="str">
        <v/>
      </c>
      <c r="D433" s="24">
        <v>20000</v>
      </c>
      <c r="E433" s="24">
        <v>0</v>
      </c>
      <c r="F433" s="24">
        <v>20000</v>
      </c>
      <c r="G433" s="25">
        <v>0</v>
      </c>
      <c r="H433" s="25">
        <v>0</v>
      </c>
      <c r="I433" s="25">
        <v>0</v>
      </c>
      <c r="J433" s="25">
        <v>0</v>
      </c>
      <c r="K433" s="25">
        <v>0</v>
      </c>
      <c r="L433" s="25">
        <v>0</v>
      </c>
      <c r="M433" s="26">
        <f>IF(G433&gt;0,J433/G433,0)</f>
      </c>
    </row>
    <row r="434" ht="14.4" customHeight="1">
      <c r="A434" s="21" t="str">
        <v/>
      </c>
      <c r="B434" s="22" t="str">
        <v>2.3.2.2.2.3     SERVICIO DE INTERNET</v>
      </c>
      <c r="C434" s="23" t="str">
        <v/>
      </c>
      <c r="D434" s="24">
        <v>134000</v>
      </c>
      <c r="E434" s="24">
        <v>0</v>
      </c>
      <c r="F434" s="24">
        <v>134000</v>
      </c>
      <c r="G434" s="25">
        <v>2000</v>
      </c>
      <c r="H434" s="25">
        <v>2000</v>
      </c>
      <c r="I434" s="25">
        <v>23000</v>
      </c>
      <c r="J434" s="25">
        <v>23000</v>
      </c>
      <c r="K434" s="25">
        <v>20480</v>
      </c>
      <c r="L434" s="25">
        <v>20480</v>
      </c>
      <c r="M434" s="26">
        <f>IF(G434&gt;0,J434/G434,0)</f>
      </c>
    </row>
    <row r="435" ht="14.4" customHeight="1">
      <c r="A435" s="21" t="str">
        <v/>
      </c>
      <c r="B435" s="22" t="str">
        <v>2.3.2.2.3.1     CORREOS Y SERVICIOS DE MENSAJERIA</v>
      </c>
      <c r="C435" s="23" t="str">
        <v/>
      </c>
      <c r="D435" s="24">
        <v>20000</v>
      </c>
      <c r="E435" s="24">
        <v>0</v>
      </c>
      <c r="F435" s="24">
        <v>20000</v>
      </c>
      <c r="G435" s="25">
        <v>0</v>
      </c>
      <c r="H435" s="25">
        <v>0</v>
      </c>
      <c r="I435" s="25">
        <v>0</v>
      </c>
      <c r="J435" s="25">
        <v>0</v>
      </c>
      <c r="K435" s="25">
        <v>0</v>
      </c>
      <c r="L435" s="25">
        <v>0</v>
      </c>
      <c r="M435" s="26">
        <f>IF(G435&gt;0,J435/G435,0)</f>
      </c>
    </row>
    <row r="436" ht="14.4" customHeight="1">
      <c r="A436" s="21" t="str">
        <v/>
      </c>
      <c r="B436" s="22" t="str">
        <v>2.3.2.2.4.1     SERVICIO DE PUBLICIDAD</v>
      </c>
      <c r="C436" s="23" t="str">
        <v/>
      </c>
      <c r="D436" s="24">
        <v>149000</v>
      </c>
      <c r="E436" s="24">
        <v>-95000</v>
      </c>
      <c r="F436" s="24">
        <v>54000</v>
      </c>
      <c r="G436" s="25">
        <v>23600</v>
      </c>
      <c r="H436" s="25">
        <v>23600</v>
      </c>
      <c r="I436" s="25">
        <v>23600</v>
      </c>
      <c r="J436" s="25">
        <v>23600</v>
      </c>
      <c r="K436" s="25">
        <v>23600</v>
      </c>
      <c r="L436" s="25">
        <v>23600</v>
      </c>
      <c r="M436" s="26">
        <f>IF(G436&gt;0,J436/G436,0)</f>
      </c>
    </row>
    <row r="437" ht="14.4" customHeight="1">
      <c r="A437" s="21" t="str">
        <v/>
      </c>
      <c r="B437" s="22" t="str">
        <v>2.3.2.2.4.3     SERVICIOS DE IMAGEN INSTITUCIONAL</v>
      </c>
      <c r="C437" s="23" t="str">
        <v/>
      </c>
      <c r="D437" s="24">
        <v>26000</v>
      </c>
      <c r="E437" s="24">
        <v>0</v>
      </c>
      <c r="F437" s="24">
        <v>26000</v>
      </c>
      <c r="G437" s="25">
        <v>0</v>
      </c>
      <c r="H437" s="25">
        <v>0</v>
      </c>
      <c r="I437" s="25">
        <v>0</v>
      </c>
      <c r="J437" s="25">
        <v>0</v>
      </c>
      <c r="K437" s="25">
        <v>0</v>
      </c>
      <c r="L437" s="25">
        <v>0</v>
      </c>
      <c r="M437" s="26">
        <f>IF(G437&gt;0,J437/G437,0)</f>
      </c>
    </row>
    <row r="438" ht="14.4" customHeight="1">
      <c r="A438" s="21" t="str">
        <v/>
      </c>
      <c r="B438" s="22" t="str">
        <v>2.3.2.2.5.1     DIFUSIÓN EN EL DIARIO OFICIAL</v>
      </c>
      <c r="C438" s="23" t="str">
        <v/>
      </c>
      <c r="D438" s="24">
        <v>20000</v>
      </c>
      <c r="E438" s="24">
        <v>0</v>
      </c>
      <c r="F438" s="24">
        <v>20000</v>
      </c>
      <c r="G438" s="25">
        <v>0</v>
      </c>
      <c r="H438" s="25">
        <v>0</v>
      </c>
      <c r="I438" s="25">
        <v>0</v>
      </c>
      <c r="J438" s="25">
        <v>0</v>
      </c>
      <c r="K438" s="25">
        <v>0</v>
      </c>
      <c r="L438" s="25">
        <v>0</v>
      </c>
      <c r="M438" s="26">
        <f>IF(G438&gt;0,J438/G438,0)</f>
      </c>
    </row>
    <row r="439" ht="14.4" customHeight="1">
      <c r="A439" s="21" t="str">
        <v/>
      </c>
      <c r="B439" s="22" t="str">
        <v>2.3.2.4.5.1     DE VEHICULOS</v>
      </c>
      <c r="C439" s="23" t="str">
        <v/>
      </c>
      <c r="D439" s="24">
        <v>75000</v>
      </c>
      <c r="E439" s="24">
        <v>1430</v>
      </c>
      <c r="F439" s="24">
        <v>76430</v>
      </c>
      <c r="G439" s="25">
        <v>59630</v>
      </c>
      <c r="H439" s="25">
        <v>59630</v>
      </c>
      <c r="I439" s="25">
        <v>71130</v>
      </c>
      <c r="J439" s="25">
        <v>71130</v>
      </c>
      <c r="K439" s="25">
        <v>70410</v>
      </c>
      <c r="L439" s="25">
        <v>70410</v>
      </c>
      <c r="M439" s="26">
        <f>IF(G439&gt;0,J439/G439,0)</f>
      </c>
    </row>
    <row r="440" ht="14.4" customHeight="1">
      <c r="A440" s="21" t="str">
        <v/>
      </c>
      <c r="B440" s="22" t="str">
        <v>2.3.2.4.7.1     DE MAQUINARIAS Y EQUIPOS</v>
      </c>
      <c r="C440" s="23" t="str">
        <v/>
      </c>
      <c r="D440" s="24">
        <v>22000</v>
      </c>
      <c r="E440" s="24">
        <v>0</v>
      </c>
      <c r="F440" s="24">
        <v>22000</v>
      </c>
      <c r="G440" s="25">
        <v>0</v>
      </c>
      <c r="H440" s="25">
        <v>0</v>
      </c>
      <c r="I440" s="25">
        <v>0</v>
      </c>
      <c r="J440" s="25">
        <v>0</v>
      </c>
      <c r="K440" s="25">
        <v>0</v>
      </c>
      <c r="L440" s="25">
        <v>0</v>
      </c>
      <c r="M440" s="26">
        <f>IF(G440&gt;0,J440/G440,0)</f>
      </c>
    </row>
    <row r="441" ht="14.4" customHeight="1">
      <c r="A441" s="21" t="str">
        <v/>
      </c>
      <c r="B441" s="22" t="str">
        <v>2.3.2.5.1.1     DE EDIFICIOS Y ESTRUCTURAS</v>
      </c>
      <c r="C441" s="23" t="str">
        <v/>
      </c>
      <c r="D441" s="24">
        <v>90100</v>
      </c>
      <c r="E441" s="24">
        <v>-12000</v>
      </c>
      <c r="F441" s="24">
        <v>78100</v>
      </c>
      <c r="G441" s="25">
        <v>30000</v>
      </c>
      <c r="H441" s="25">
        <v>30000</v>
      </c>
      <c r="I441" s="25">
        <v>78000</v>
      </c>
      <c r="J441" s="25">
        <v>7500</v>
      </c>
      <c r="K441" s="25">
        <v>5000</v>
      </c>
      <c r="L441" s="25">
        <v>5000</v>
      </c>
      <c r="M441" s="26">
        <f>IF(G441&gt;0,J441/G441,0)</f>
      </c>
    </row>
    <row r="442" ht="14.4" customHeight="1">
      <c r="A442" s="21" t="str">
        <v/>
      </c>
      <c r="B442" s="22" t="str">
        <v>2.3.2.5.1.2     DE VEHICULOS</v>
      </c>
      <c r="C442" s="23" t="str">
        <v/>
      </c>
      <c r="D442" s="24">
        <v>125000</v>
      </c>
      <c r="E442" s="24">
        <v>100000</v>
      </c>
      <c r="F442" s="24">
        <v>225000</v>
      </c>
      <c r="G442" s="25">
        <v>111000</v>
      </c>
      <c r="H442" s="25">
        <v>104500</v>
      </c>
      <c r="I442" s="25">
        <v>140000</v>
      </c>
      <c r="J442" s="25">
        <v>116000</v>
      </c>
      <c r="K442" s="25">
        <v>110350</v>
      </c>
      <c r="L442" s="25">
        <v>110350</v>
      </c>
      <c r="M442" s="26">
        <f>IF(G442&gt;0,J442/G442,0)</f>
      </c>
    </row>
    <row r="443" ht="14.4" customHeight="1">
      <c r="A443" s="21" t="str">
        <v/>
      </c>
      <c r="B443" s="22" t="str">
        <v>2.3.2.5.1.4     DE MAQUINARIAS Y EQUIPOS</v>
      </c>
      <c r="C443" s="23" t="str">
        <v/>
      </c>
      <c r="D443" s="24">
        <v>30000</v>
      </c>
      <c r="E443" s="24">
        <v>-30000</v>
      </c>
      <c r="F443" s="24">
        <v>0</v>
      </c>
      <c r="G443" s="25">
        <v>0</v>
      </c>
      <c r="H443" s="25">
        <v>0</v>
      </c>
      <c r="I443" s="25">
        <v>0</v>
      </c>
      <c r="J443" s="25">
        <v>0</v>
      </c>
      <c r="K443" s="25">
        <v>0</v>
      </c>
      <c r="L443" s="25">
        <v>0</v>
      </c>
      <c r="M443" s="26">
        <f>IF(G443&gt;0,J443/G443,0)</f>
      </c>
    </row>
    <row r="444" ht="14.4" customHeight="1">
      <c r="A444" s="21" t="str">
        <v/>
      </c>
      <c r="B444" s="22" t="str">
        <v>2.3.2.6.1.1     GASTOS LEGALES Y JUDICIALES</v>
      </c>
      <c r="C444" s="23" t="str">
        <v/>
      </c>
      <c r="D444" s="24">
        <v>15000</v>
      </c>
      <c r="E444" s="24">
        <v>-10000</v>
      </c>
      <c r="F444" s="24">
        <v>5000</v>
      </c>
      <c r="G444" s="25">
        <v>0</v>
      </c>
      <c r="H444" s="25">
        <v>0</v>
      </c>
      <c r="I444" s="25">
        <v>0</v>
      </c>
      <c r="J444" s="25">
        <v>0</v>
      </c>
      <c r="K444" s="25">
        <v>0</v>
      </c>
      <c r="L444" s="25">
        <v>0</v>
      </c>
      <c r="M444" s="26">
        <f>IF(G444&gt;0,J444/G444,0)</f>
      </c>
    </row>
    <row r="445" ht="14.4" customHeight="1">
      <c r="A445" s="21" t="str">
        <v/>
      </c>
      <c r="B445" s="22" t="str">
        <v>2.3.2.6.1.2     GASTOS NOTARIALES</v>
      </c>
      <c r="C445" s="23" t="str">
        <v/>
      </c>
      <c r="D445" s="24">
        <v>30000</v>
      </c>
      <c r="E445" s="24">
        <v>-23000</v>
      </c>
      <c r="F445" s="24">
        <v>7000</v>
      </c>
      <c r="G445" s="25">
        <v>0</v>
      </c>
      <c r="H445" s="25">
        <v>0</v>
      </c>
      <c r="I445" s="25">
        <v>0</v>
      </c>
      <c r="J445" s="25">
        <v>0</v>
      </c>
      <c r="K445" s="25">
        <v>0</v>
      </c>
      <c r="L445" s="25">
        <v>0</v>
      </c>
      <c r="M445" s="26">
        <f>IF(G445&gt;0,J445/G445,0)</f>
      </c>
    </row>
    <row r="446" ht="14.4" customHeight="1">
      <c r="A446" s="21" t="str">
        <v/>
      </c>
      <c r="B446" s="22" t="str">
        <v>2.3.2.6.3.3     SEGURO OBLIGATORIO ACCIDENTES DE TRANSITO (SOAT)</v>
      </c>
      <c r="C446" s="23" t="str">
        <v/>
      </c>
      <c r="D446" s="24">
        <v>15000</v>
      </c>
      <c r="E446" s="24">
        <v>0</v>
      </c>
      <c r="F446" s="24">
        <v>15000</v>
      </c>
      <c r="G446" s="25">
        <v>0</v>
      </c>
      <c r="H446" s="25">
        <v>0</v>
      </c>
      <c r="I446" s="25">
        <v>0</v>
      </c>
      <c r="J446" s="25">
        <v>0</v>
      </c>
      <c r="K446" s="25">
        <v>0</v>
      </c>
      <c r="L446" s="25">
        <v>0</v>
      </c>
      <c r="M446" s="26">
        <f>IF(G446&gt;0,J446/G446,0)</f>
      </c>
    </row>
    <row r="447" ht="14.4" customHeight="1">
      <c r="A447" s="21" t="str">
        <v/>
      </c>
      <c r="B447" s="22" t="str">
        <v>2.3.2.7.10.2     ATENCIONES OFICIALES Y CELEBRACIONES INSTITUCIONALES</v>
      </c>
      <c r="C447" s="23" t="str">
        <v/>
      </c>
      <c r="D447" s="24">
        <v>5000</v>
      </c>
      <c r="E447" s="24">
        <v>0</v>
      </c>
      <c r="F447" s="24">
        <v>5000</v>
      </c>
      <c r="G447" s="25">
        <v>0</v>
      </c>
      <c r="H447" s="25">
        <v>0</v>
      </c>
      <c r="I447" s="25">
        <v>0</v>
      </c>
      <c r="J447" s="25">
        <v>0</v>
      </c>
      <c r="K447" s="25">
        <v>0</v>
      </c>
      <c r="L447" s="25">
        <v>0</v>
      </c>
      <c r="M447" s="26">
        <f>IF(G447&gt;0,J447/G447,0)</f>
      </c>
    </row>
    <row r="448" ht="14.4" customHeight="1">
      <c r="A448" s="21" t="str">
        <v/>
      </c>
      <c r="B448" s="22" t="str">
        <v>2.3.2.7.11.2     TRANSPORTE Y TRASLADO DE CARGA, BIENES Y MATERIALES</v>
      </c>
      <c r="C448" s="23" t="str">
        <v/>
      </c>
      <c r="D448" s="24">
        <v>76000</v>
      </c>
      <c r="E448" s="24">
        <v>-30000</v>
      </c>
      <c r="F448" s="24">
        <v>46000</v>
      </c>
      <c r="G448" s="25">
        <v>15000</v>
      </c>
      <c r="H448" s="25">
        <v>15000</v>
      </c>
      <c r="I448" s="25">
        <v>15000</v>
      </c>
      <c r="J448" s="25">
        <v>15000</v>
      </c>
      <c r="K448" s="25">
        <v>15000</v>
      </c>
      <c r="L448" s="25">
        <v>15000</v>
      </c>
      <c r="M448" s="26">
        <f>IF(G448&gt;0,J448/G448,0)</f>
      </c>
    </row>
    <row r="449" ht="14.4" customHeight="1">
      <c r="A449" s="21" t="str">
        <v/>
      </c>
      <c r="B449" s="22" t="str">
        <v>2.3.2.7.11.5     SERVICIOS DE ALIMENTACION DE CONSUMO HUMANO</v>
      </c>
      <c r="C449" s="23" t="str">
        <v/>
      </c>
      <c r="D449" s="24">
        <v>150000</v>
      </c>
      <c r="E449" s="24">
        <v>0</v>
      </c>
      <c r="F449" s="24">
        <v>150000</v>
      </c>
      <c r="G449" s="25">
        <v>38449.5</v>
      </c>
      <c r="H449" s="25">
        <v>38449.5</v>
      </c>
      <c r="I449" s="25">
        <v>42159.5</v>
      </c>
      <c r="J449" s="25">
        <v>39359.5</v>
      </c>
      <c r="K449" s="25">
        <v>38939.5</v>
      </c>
      <c r="L449" s="25">
        <v>38939.5</v>
      </c>
      <c r="M449" s="26">
        <f>IF(G449&gt;0,J449/G449,0)</f>
      </c>
    </row>
    <row r="450" ht="14.4" customHeight="1">
      <c r="A450" s="21" t="str">
        <v/>
      </c>
      <c r="B450" s="22" t="str">
        <v>2.3.2.7.11.6     SERVICIO DE IMPRESIONES, ENCUADERNACION Y EMPASTADO</v>
      </c>
      <c r="C450" s="23" t="str">
        <v/>
      </c>
      <c r="D450" s="24">
        <v>47533</v>
      </c>
      <c r="E450" s="24">
        <v>55000</v>
      </c>
      <c r="F450" s="24">
        <v>102533</v>
      </c>
      <c r="G450" s="25">
        <v>58840.8</v>
      </c>
      <c r="H450" s="25">
        <v>45491</v>
      </c>
      <c r="I450" s="25">
        <v>70734.5</v>
      </c>
      <c r="J450" s="25">
        <v>66180.6</v>
      </c>
      <c r="K450" s="25">
        <v>56798.8</v>
      </c>
      <c r="L450" s="25">
        <v>56798.8</v>
      </c>
      <c r="M450" s="26">
        <f>IF(G450&gt;0,J450/G450,0)</f>
      </c>
    </row>
    <row r="451" ht="14.4" customHeight="1">
      <c r="A451" s="21" t="str">
        <v/>
      </c>
      <c r="B451" s="22" t="str">
        <v>2.3.2.7.11.99     SERVICIOS DIVERSOS</v>
      </c>
      <c r="C451" s="23" t="str">
        <v/>
      </c>
      <c r="D451" s="24">
        <v>1234550</v>
      </c>
      <c r="E451" s="24">
        <v>0</v>
      </c>
      <c r="F451" s="24">
        <v>1234550</v>
      </c>
      <c r="G451" s="25">
        <v>436115.84</v>
      </c>
      <c r="H451" s="25">
        <v>382237.24</v>
      </c>
      <c r="I451" s="25">
        <v>714978.04</v>
      </c>
      <c r="J451" s="25">
        <v>537822.51</v>
      </c>
      <c r="K451" s="25">
        <v>505092.51</v>
      </c>
      <c r="L451" s="25">
        <v>505092.51</v>
      </c>
      <c r="M451" s="26">
        <f>IF(G451&gt;0,J451/G451,0)</f>
      </c>
    </row>
    <row r="452" ht="14.4" customHeight="1">
      <c r="A452" s="21" t="str">
        <v/>
      </c>
      <c r="B452" s="22" t="str">
        <v>2.3.2.7.14.98     OTROS SERVICIOS TÉCNICOS Y PROFESIONALES DESARROLLADOS POR PERSONAS NATURALES</v>
      </c>
      <c r="C452" s="23" t="str">
        <v/>
      </c>
      <c r="D452" s="24">
        <v>1568900</v>
      </c>
      <c r="E452" s="24">
        <v>-464937</v>
      </c>
      <c r="F452" s="24">
        <v>1103963</v>
      </c>
      <c r="G452" s="25">
        <v>175200</v>
      </c>
      <c r="H452" s="25">
        <v>164200</v>
      </c>
      <c r="I452" s="25">
        <v>324700</v>
      </c>
      <c r="J452" s="25">
        <v>248200</v>
      </c>
      <c r="K452" s="25">
        <v>224480</v>
      </c>
      <c r="L452" s="25">
        <v>224480</v>
      </c>
      <c r="M452" s="26">
        <f>IF(G452&gt;0,J452/G452,0)</f>
      </c>
    </row>
    <row r="453" ht="14.4" customHeight="1">
      <c r="A453" s="21" t="str">
        <v/>
      </c>
      <c r="B453" s="22" t="str">
        <v>2.3.2.7.9.99     OTROS RELACIONADOS A ORGANIZACION DE EVENTOS</v>
      </c>
      <c r="C453" s="23" t="str">
        <v/>
      </c>
      <c r="D453" s="24">
        <v>9000</v>
      </c>
      <c r="E453" s="24">
        <v>0</v>
      </c>
      <c r="F453" s="24">
        <v>9000</v>
      </c>
      <c r="G453" s="25">
        <v>0</v>
      </c>
      <c r="H453" s="25">
        <v>0</v>
      </c>
      <c r="I453" s="25">
        <v>0</v>
      </c>
      <c r="J453" s="25">
        <v>0</v>
      </c>
      <c r="K453" s="25">
        <v>0</v>
      </c>
      <c r="L453" s="25">
        <v>0</v>
      </c>
      <c r="M453" s="26">
        <f>IF(G453&gt;0,J453/G453,0)</f>
      </c>
    </row>
    <row r="454" ht="14.4" customHeight="1">
      <c r="A454" s="21" t="str">
        <v/>
      </c>
      <c r="B454" s="22" t="str">
        <v>2.3.2.9.1.1     LOCACIÓN DE SERVICIOS REALIZADOS POR PERSONA NATURAL</v>
      </c>
      <c r="C454" s="23" t="str">
        <v/>
      </c>
      <c r="D454" s="24">
        <v>1258000</v>
      </c>
      <c r="E454" s="24">
        <v>-15820</v>
      </c>
      <c r="F454" s="24">
        <v>1242180</v>
      </c>
      <c r="G454" s="25">
        <v>292573.33</v>
      </c>
      <c r="H454" s="25">
        <v>262773.33</v>
      </c>
      <c r="I454" s="25">
        <v>574773.33</v>
      </c>
      <c r="J454" s="25">
        <v>395288.15</v>
      </c>
      <c r="K454" s="25">
        <v>356788.15</v>
      </c>
      <c r="L454" s="25">
        <v>356788.15</v>
      </c>
      <c r="M454" s="26">
        <f>IF(G454&gt;0,J454/G454,0)</f>
      </c>
    </row>
    <row r="455" ht="14.4" customHeight="1">
      <c r="A455" s="21" t="str">
        <v/>
      </c>
      <c r="B455" s="22" t="str">
        <v>2.5.5.1.3.1     A PERSONAS JURIDICAS</v>
      </c>
      <c r="C455" s="23" t="str">
        <v/>
      </c>
      <c r="D455" s="24">
        <v>50000</v>
      </c>
      <c r="E455" s="24">
        <v>0</v>
      </c>
      <c r="F455" s="24">
        <v>50000</v>
      </c>
      <c r="G455" s="25">
        <v>0</v>
      </c>
      <c r="H455" s="25">
        <v>0</v>
      </c>
      <c r="I455" s="25">
        <v>50</v>
      </c>
      <c r="J455" s="25">
        <v>50</v>
      </c>
      <c r="K455" s="25">
        <v>0</v>
      </c>
      <c r="L455" s="25">
        <v>0</v>
      </c>
      <c r="M455" s="26">
        <f>IF(G455&gt;0,J455/G455,0)</f>
      </c>
    </row>
    <row r="456" ht="14.4" customHeight="1">
      <c r="A456" s="21" t="str">
        <v/>
      </c>
      <c r="B456" s="22" t="str">
        <v>2.5.5.1.3.2     A PERSONAS NATURALES</v>
      </c>
      <c r="C456" s="23" t="str">
        <v/>
      </c>
      <c r="D456" s="24">
        <v>50000</v>
      </c>
      <c r="E456" s="24">
        <v>0</v>
      </c>
      <c r="F456" s="24">
        <v>50000</v>
      </c>
      <c r="G456" s="25">
        <v>0</v>
      </c>
      <c r="H456" s="25">
        <v>0</v>
      </c>
      <c r="I456" s="25">
        <v>1000</v>
      </c>
      <c r="J456" s="25">
        <v>1000</v>
      </c>
      <c r="K456" s="25">
        <v>0</v>
      </c>
      <c r="L456" s="25">
        <v>0</v>
      </c>
      <c r="M456" s="26">
        <f>IF(G456&gt;0,J456/G456,0)</f>
      </c>
    </row>
    <row r="457" ht="14.4" customHeight="1">
      <c r="A457" s="21" t="str">
        <v/>
      </c>
      <c r="B457" s="22" t="str">
        <v>2.6.3.2.1.1     MAQUINAS Y EQUIPOS</v>
      </c>
      <c r="C457" s="23" t="str">
        <v/>
      </c>
      <c r="D457" s="24">
        <v>5000</v>
      </c>
      <c r="E457" s="24">
        <v>0</v>
      </c>
      <c r="F457" s="24">
        <v>5000</v>
      </c>
      <c r="G457" s="25">
        <v>0</v>
      </c>
      <c r="H457" s="25">
        <v>0</v>
      </c>
      <c r="I457" s="25">
        <v>0</v>
      </c>
      <c r="J457" s="25">
        <v>0</v>
      </c>
      <c r="K457" s="25">
        <v>0</v>
      </c>
      <c r="L457" s="25">
        <v>0</v>
      </c>
      <c r="M457" s="26">
        <f>IF(G457&gt;0,J457/G457,0)</f>
      </c>
    </row>
    <row r="458" ht="14.4" customHeight="1">
      <c r="A458" s="21" t="str">
        <v/>
      </c>
      <c r="B458" s="22" t="str">
        <v>2.6.3.2.1.2     MOBILIARIO</v>
      </c>
      <c r="C458" s="23" t="str">
        <v/>
      </c>
      <c r="D458" s="24">
        <v>55700</v>
      </c>
      <c r="E458" s="24">
        <v>0</v>
      </c>
      <c r="F458" s="24">
        <v>55700</v>
      </c>
      <c r="G458" s="25">
        <v>0</v>
      </c>
      <c r="H458" s="25">
        <v>0</v>
      </c>
      <c r="I458" s="25">
        <v>0</v>
      </c>
      <c r="J458" s="25">
        <v>0</v>
      </c>
      <c r="K458" s="25">
        <v>0</v>
      </c>
      <c r="L458" s="25">
        <v>0</v>
      </c>
      <c r="M458" s="26">
        <f>IF(G458&gt;0,J458/G458,0)</f>
      </c>
    </row>
    <row r="459" ht="14.4" customHeight="1">
      <c r="A459" s="21" t="str">
        <v/>
      </c>
      <c r="B459" s="22" t="str">
        <v>2.6.3.2.3.1     EQUIPOS COMPUTACIONALES Y PERIFERICOS</v>
      </c>
      <c r="C459" s="23" t="str">
        <v/>
      </c>
      <c r="D459" s="24">
        <v>50000</v>
      </c>
      <c r="E459" s="24">
        <v>0</v>
      </c>
      <c r="F459" s="24">
        <v>50000</v>
      </c>
      <c r="G459" s="25">
        <v>0</v>
      </c>
      <c r="H459" s="25">
        <v>0</v>
      </c>
      <c r="I459" s="25">
        <v>0</v>
      </c>
      <c r="J459" s="25">
        <v>0</v>
      </c>
      <c r="K459" s="25">
        <v>0</v>
      </c>
      <c r="L459" s="25">
        <v>0</v>
      </c>
      <c r="M459" s="26">
        <f>IF(G459&gt;0,J459/G459,0)</f>
      </c>
    </row>
    <row r="460" ht="14.4" customHeight="1">
      <c r="A460" s="21" t="str">
        <v/>
      </c>
      <c r="B460" s="22" t="str">
        <v>2.6.3.2.9.6     EQUIPOS PARA VEHICULOS</v>
      </c>
      <c r="C460" s="23" t="str">
        <v/>
      </c>
      <c r="D460" s="24">
        <v>0</v>
      </c>
      <c r="E460" s="24">
        <v>0</v>
      </c>
      <c r="F460" s="24">
        <v>0</v>
      </c>
      <c r="G460" s="25">
        <v>0</v>
      </c>
      <c r="H460" s="25">
        <v>0</v>
      </c>
      <c r="I460" s="25">
        <v>0</v>
      </c>
      <c r="J460" s="25">
        <v>0</v>
      </c>
      <c r="K460" s="25">
        <v>0</v>
      </c>
      <c r="L460" s="25">
        <v>0</v>
      </c>
      <c r="M460" s="26">
        <f>IF(G460&gt;0,J460/G460,0)</f>
      </c>
    </row>
    <row r="461" ht="14.4" customHeight="1">
      <c r="A461" s="21" t="str">
        <v/>
      </c>
      <c r="B461" s="22" t="str">
        <v>2.6.3.2.9.99     MAQUINARIAS, EQUIPOS Y MOBILIARIOS DE OTRAS INSTALACIONES</v>
      </c>
      <c r="C461" s="23" t="str">
        <v/>
      </c>
      <c r="D461" s="24">
        <v>6386834</v>
      </c>
      <c r="E461" s="24">
        <v>-463625</v>
      </c>
      <c r="F461" s="24">
        <v>5923209</v>
      </c>
      <c r="G461" s="25">
        <v>0</v>
      </c>
      <c r="H461" s="25">
        <v>0</v>
      </c>
      <c r="I461" s="25">
        <v>0</v>
      </c>
      <c r="J461" s="25">
        <v>0</v>
      </c>
      <c r="K461" s="25">
        <v>0</v>
      </c>
      <c r="L461" s="25">
        <v>0</v>
      </c>
      <c r="M461" s="26">
        <f>IF(G461&gt;0,J461/G461,0)</f>
      </c>
    </row>
    <row r="462" ht="14.4" customHeight="1">
      <c r="A462" s="15" t="str">
        <v/>
      </c>
      <c r="B462" s="16" t="str">
        <v>08 IMPUESTOS MUNICIPALES</v>
      </c>
      <c r="C462" s="17" t="str">
        <v/>
      </c>
      <c r="D462" s="18">
        <v>248448</v>
      </c>
      <c r="E462" s="18">
        <v>0</v>
      </c>
      <c r="F462" s="18">
        <v>248448</v>
      </c>
      <c r="G462" s="19">
        <v>3500</v>
      </c>
      <c r="H462" s="19">
        <v>500</v>
      </c>
      <c r="I462" s="19">
        <v>15500</v>
      </c>
      <c r="J462" s="19">
        <v>15500</v>
      </c>
      <c r="K462" s="19">
        <v>500</v>
      </c>
      <c r="L462" s="19">
        <v>500</v>
      </c>
      <c r="M462" s="20">
        <f>IF(G462&gt;0,J462/G462,0)</f>
      </c>
    </row>
    <row r="463" ht="14.4" customHeight="1">
      <c r="A463" s="21" t="str">
        <v/>
      </c>
      <c r="B463" s="22" t="str">
        <v>2.3.1.3.1.1     COMBUSTIBLES Y CARBURANTES</v>
      </c>
      <c r="C463" s="23" t="str">
        <v/>
      </c>
      <c r="D463" s="24">
        <v>0</v>
      </c>
      <c r="E463" s="24">
        <v>0</v>
      </c>
      <c r="F463" s="24">
        <v>0</v>
      </c>
      <c r="G463" s="25">
        <v>0</v>
      </c>
      <c r="H463" s="25">
        <v>0</v>
      </c>
      <c r="I463" s="25">
        <v>0</v>
      </c>
      <c r="J463" s="25">
        <v>0</v>
      </c>
      <c r="K463" s="25">
        <v>0</v>
      </c>
      <c r="L463" s="25">
        <v>0</v>
      </c>
      <c r="M463" s="26">
        <f>IF(G463&gt;0,J463/G463,0)</f>
      </c>
    </row>
    <row r="464" ht="14.4" customHeight="1">
      <c r="A464" s="21" t="str">
        <v/>
      </c>
      <c r="B464" s="22" t="str">
        <v>2.3.2.7.14.98     OTROS SERVICIOS TÉCNICOS Y PROFESIONALES DESARROLLADOS POR PERSONAS NATURALES</v>
      </c>
      <c r="C464" s="23" t="str">
        <v/>
      </c>
      <c r="D464" s="24">
        <v>235522</v>
      </c>
      <c r="E464" s="24">
        <v>0</v>
      </c>
      <c r="F464" s="24">
        <v>235522</v>
      </c>
      <c r="G464" s="25">
        <v>3500</v>
      </c>
      <c r="H464" s="25">
        <v>500</v>
      </c>
      <c r="I464" s="25">
        <v>15500</v>
      </c>
      <c r="J464" s="25">
        <v>15500</v>
      </c>
      <c r="K464" s="25">
        <v>500</v>
      </c>
      <c r="L464" s="25">
        <v>500</v>
      </c>
      <c r="M464" s="26">
        <f>IF(G464&gt;0,J464/G464,0)</f>
      </c>
    </row>
    <row r="465" ht="14.4" customHeight="1">
      <c r="A465" s="21" t="str">
        <v/>
      </c>
      <c r="B465" s="22" t="str">
        <v>2.6.3.2.1.1     MAQUINAS Y EQUIPOS</v>
      </c>
      <c r="C465" s="23" t="str">
        <v/>
      </c>
      <c r="D465" s="24">
        <v>1500</v>
      </c>
      <c r="E465" s="24">
        <v>0</v>
      </c>
      <c r="F465" s="24">
        <v>1500</v>
      </c>
      <c r="G465" s="25">
        <v>0</v>
      </c>
      <c r="H465" s="25">
        <v>0</v>
      </c>
      <c r="I465" s="25">
        <v>0</v>
      </c>
      <c r="J465" s="25">
        <v>0</v>
      </c>
      <c r="K465" s="25">
        <v>0</v>
      </c>
      <c r="L465" s="25">
        <v>0</v>
      </c>
      <c r="M465" s="26">
        <f>IF(G465&gt;0,J465/G465,0)</f>
      </c>
    </row>
    <row r="466" ht="14.4" customHeight="1">
      <c r="A466" s="21" t="str">
        <v/>
      </c>
      <c r="B466" s="22" t="str">
        <v>2.6.3.2.2.1     MAQUINAS Y EQUIPOS</v>
      </c>
      <c r="C466" s="23" t="str">
        <v/>
      </c>
      <c r="D466" s="24">
        <v>10426</v>
      </c>
      <c r="E466" s="24">
        <v>0</v>
      </c>
      <c r="F466" s="24">
        <v>10426</v>
      </c>
      <c r="G466" s="25">
        <v>0</v>
      </c>
      <c r="H466" s="25">
        <v>0</v>
      </c>
      <c r="I466" s="25">
        <v>0</v>
      </c>
      <c r="J466" s="25">
        <v>0</v>
      </c>
      <c r="K466" s="25">
        <v>0</v>
      </c>
      <c r="L466" s="25">
        <v>0</v>
      </c>
      <c r="M466" s="26">
        <f>IF(G466&gt;0,J466/G466,0)</f>
      </c>
    </row>
    <row r="467" ht="14.4" customHeight="1">
      <c r="A467" s="21" t="str">
        <v/>
      </c>
      <c r="B467" s="22" t="str">
        <v>2.6.3.2.3.3     EQUIPOS DE TELECOMUNICACIONES</v>
      </c>
      <c r="C467" s="23" t="str">
        <v/>
      </c>
      <c r="D467" s="24">
        <v>1000</v>
      </c>
      <c r="E467" s="24">
        <v>0</v>
      </c>
      <c r="F467" s="24">
        <v>1000</v>
      </c>
      <c r="G467" s="25">
        <v>0</v>
      </c>
      <c r="H467" s="25">
        <v>0</v>
      </c>
      <c r="I467" s="25">
        <v>0</v>
      </c>
      <c r="J467" s="25">
        <v>0</v>
      </c>
      <c r="K467" s="25">
        <v>0</v>
      </c>
      <c r="L467" s="25">
        <v>0</v>
      </c>
      <c r="M467" s="26">
        <f>IF(G467&gt;0,J467/G467,0)</f>
      </c>
    </row>
    <row r="468" ht="14.4" customHeight="1">
      <c r="A468" s="15" t="str">
        <v/>
      </c>
      <c r="B468" s="16" t="str">
        <v>09 RECURSOS DIRECTAMENTE RECAUDADOS</v>
      </c>
      <c r="C468" s="17" t="str">
        <v/>
      </c>
      <c r="D468" s="18">
        <v>76022</v>
      </c>
      <c r="E468" s="18">
        <v>180000</v>
      </c>
      <c r="F468" s="18">
        <v>256022</v>
      </c>
      <c r="G468" s="19">
        <v>0</v>
      </c>
      <c r="H468" s="19">
        <v>0</v>
      </c>
      <c r="I468" s="19">
        <v>0</v>
      </c>
      <c r="J468" s="19">
        <v>0</v>
      </c>
      <c r="K468" s="19">
        <v>0</v>
      </c>
      <c r="L468" s="19">
        <v>0</v>
      </c>
      <c r="M468" s="20">
        <f>IF(G468&gt;0,J468/G468,0)</f>
      </c>
    </row>
    <row r="469" ht="14.4" customHeight="1">
      <c r="A469" s="21" t="str">
        <v/>
      </c>
      <c r="B469" s="22" t="str">
        <v>2.3.1.1.1.1     ALIMENTOS Y BEBIDAS PARA CONSUMO HUMANO</v>
      </c>
      <c r="C469" s="23" t="str">
        <v/>
      </c>
      <c r="D469" s="24">
        <v>20000</v>
      </c>
      <c r="E469" s="24">
        <v>-20000</v>
      </c>
      <c r="F469" s="24">
        <v>0</v>
      </c>
      <c r="G469" s="25">
        <v>0</v>
      </c>
      <c r="H469" s="25">
        <v>0</v>
      </c>
      <c r="I469" s="25">
        <v>0</v>
      </c>
      <c r="J469" s="25">
        <v>0</v>
      </c>
      <c r="K469" s="25">
        <v>0</v>
      </c>
      <c r="L469" s="25">
        <v>0</v>
      </c>
      <c r="M469" s="26">
        <f>IF(G469&gt;0,J469/G469,0)</f>
      </c>
    </row>
    <row r="470" ht="14.4" customHeight="1">
      <c r="A470" s="21" t="str">
        <v/>
      </c>
      <c r="B470" s="22" t="str">
        <v>2.3.1.3.1.1     COMBUSTIBLES Y CARBURANTES</v>
      </c>
      <c r="C470" s="23" t="str">
        <v/>
      </c>
      <c r="D470" s="24">
        <v>0</v>
      </c>
      <c r="E470" s="24">
        <v>200000</v>
      </c>
      <c r="F470" s="24">
        <v>200000</v>
      </c>
      <c r="G470" s="25">
        <v>0</v>
      </c>
      <c r="H470" s="25">
        <v>0</v>
      </c>
      <c r="I470" s="25">
        <v>0</v>
      </c>
      <c r="J470" s="25">
        <v>0</v>
      </c>
      <c r="K470" s="25">
        <v>0</v>
      </c>
      <c r="L470" s="25">
        <v>0</v>
      </c>
      <c r="M470" s="26">
        <f>IF(G470&gt;0,J470/G470,0)</f>
      </c>
    </row>
    <row r="471" ht="14.4" customHeight="1">
      <c r="A471" s="21" t="str">
        <v/>
      </c>
      <c r="B471" s="22" t="str">
        <v>2.3.2.7.14.98     OTROS SERVICIOS TÉCNICOS Y PROFESIONALES DESARROLLADOS POR PERSONAS NATURALES</v>
      </c>
      <c r="C471" s="23" t="str">
        <v/>
      </c>
      <c r="D471" s="24">
        <v>56022</v>
      </c>
      <c r="E471" s="24">
        <v>0</v>
      </c>
      <c r="F471" s="24">
        <v>56022</v>
      </c>
      <c r="G471" s="25">
        <v>0</v>
      </c>
      <c r="H471" s="25">
        <v>0</v>
      </c>
      <c r="I471" s="25">
        <v>0</v>
      </c>
      <c r="J471" s="25">
        <v>0</v>
      </c>
      <c r="K471" s="25">
        <v>0</v>
      </c>
      <c r="L471" s="25">
        <v>0</v>
      </c>
      <c r="M471" s="26">
        <f>IF(G471&gt;0,J471/G471,0)</f>
      </c>
    </row>
    <row r="472" ht="14.4" customHeight="1">
      <c r="A472" s="15" t="str">
        <v/>
      </c>
      <c r="B472" s="16" t="str">
        <v>18 CANON Y SOBRECANON, REGALIAS, RENTA DE ADUANAS Y PARTICIPACIONES</v>
      </c>
      <c r="C472" s="17" t="str">
        <v/>
      </c>
      <c r="D472" s="18">
        <v>0</v>
      </c>
      <c r="E472" s="18">
        <v>0</v>
      </c>
      <c r="F472" s="18">
        <v>0</v>
      </c>
      <c r="G472" s="19">
        <v>0</v>
      </c>
      <c r="H472" s="19">
        <v>0</v>
      </c>
      <c r="I472" s="19">
        <v>0</v>
      </c>
      <c r="J472" s="19">
        <v>0</v>
      </c>
      <c r="K472" s="19">
        <v>0</v>
      </c>
      <c r="L472" s="19">
        <v>0</v>
      </c>
      <c r="M472" s="20">
        <f>IF(G472&gt;0,J472/G472,0)</f>
      </c>
    </row>
    <row r="473" ht="14.4" customHeight="1">
      <c r="A473" s="21" t="str">
        <v/>
      </c>
      <c r="B473" s="22" t="str">
        <v>2.3.1.3.1.1     COMBUSTIBLES Y CARBURANTES</v>
      </c>
      <c r="C473" s="23" t="str">
        <v/>
      </c>
      <c r="D473" s="24">
        <v>0</v>
      </c>
      <c r="E473" s="24">
        <v>0</v>
      </c>
      <c r="F473" s="24">
        <v>0</v>
      </c>
      <c r="G473" s="25">
        <v>0</v>
      </c>
      <c r="H473" s="25">
        <v>0</v>
      </c>
      <c r="I473" s="25">
        <v>0</v>
      </c>
      <c r="J473" s="25">
        <v>0</v>
      </c>
      <c r="K473" s="25">
        <v>0</v>
      </c>
      <c r="L473" s="25">
        <v>0</v>
      </c>
      <c r="M473" s="26">
        <f>IF(G473&gt;0,J473/G473,0)</f>
      </c>
    </row>
    <row r="474" ht="14.4" customHeight="1">
      <c r="A474" s="15" t="str">
        <v>0047</v>
      </c>
      <c r="B474" s="16" t="str">
        <v>REPOTENCIACION Y MANTENIMIENTO DE MAQUINARIA MUNICIPAL</v>
      </c>
      <c r="C474" s="17" t="str">
        <v/>
      </c>
      <c r="D474" s="18">
        <v>364369</v>
      </c>
      <c r="E474" s="18">
        <v>64275</v>
      </c>
      <c r="F474" s="18">
        <v>428644</v>
      </c>
      <c r="G474" s="19">
        <v>173800</v>
      </c>
      <c r="H474" s="19">
        <v>173800</v>
      </c>
      <c r="I474" s="19">
        <v>238450</v>
      </c>
      <c r="J474" s="19">
        <v>203480</v>
      </c>
      <c r="K474" s="19">
        <v>202834.8</v>
      </c>
      <c r="L474" s="19">
        <v>202834.8</v>
      </c>
      <c r="M474" s="20">
        <f>IF(G474&gt;0,J474/G474,0)</f>
      </c>
    </row>
    <row r="475" ht="14.4" customHeight="1">
      <c r="A475" s="15" t="str">
        <v/>
      </c>
      <c r="B475" s="16" t="str">
        <v>07 FONDO DE COMPENSACION MUNICIPAL</v>
      </c>
      <c r="C475" s="17" t="str">
        <v/>
      </c>
      <c r="D475" s="18">
        <v>364369</v>
      </c>
      <c r="E475" s="18">
        <v>64275</v>
      </c>
      <c r="F475" s="18">
        <v>428644</v>
      </c>
      <c r="G475" s="19">
        <v>173800</v>
      </c>
      <c r="H475" s="19">
        <v>173800</v>
      </c>
      <c r="I475" s="19">
        <v>238450</v>
      </c>
      <c r="J475" s="19">
        <v>203480</v>
      </c>
      <c r="K475" s="19">
        <v>202834.8</v>
      </c>
      <c r="L475" s="19">
        <v>202834.8</v>
      </c>
      <c r="M475" s="20">
        <f>IF(G475&gt;0,J475/G475,0)</f>
      </c>
    </row>
    <row r="476" ht="14.4" customHeight="1">
      <c r="A476" s="21" t="str">
        <v/>
      </c>
      <c r="B476" s="22" t="str">
        <v>2.3.1.11.1.4     PARA MAQUINARIAS Y EQUIPOS</v>
      </c>
      <c r="C476" s="23" t="str">
        <v/>
      </c>
      <c r="D476" s="24">
        <v>147524</v>
      </c>
      <c r="E476" s="24">
        <v>0</v>
      </c>
      <c r="F476" s="24">
        <v>147524</v>
      </c>
      <c r="G476" s="25">
        <v>0</v>
      </c>
      <c r="H476" s="25">
        <v>0</v>
      </c>
      <c r="I476" s="25">
        <v>30000</v>
      </c>
      <c r="J476" s="25">
        <v>0</v>
      </c>
      <c r="K476" s="25">
        <v>0</v>
      </c>
      <c r="L476" s="25">
        <v>0</v>
      </c>
      <c r="M476" s="26">
        <f>IF(G476&gt;0,J476/G476,0)</f>
      </c>
    </row>
    <row r="477" ht="14.4" customHeight="1">
      <c r="A477" s="21" t="str">
        <v/>
      </c>
      <c r="B477" s="22" t="str">
        <v>2.3.1.3.1.3     LUBRICANTES, GRASAS Y AFINES</v>
      </c>
      <c r="C477" s="23" t="str">
        <v/>
      </c>
      <c r="D477" s="24">
        <v>12225</v>
      </c>
      <c r="E477" s="24">
        <v>-12225</v>
      </c>
      <c r="F477" s="24">
        <v>0</v>
      </c>
      <c r="G477" s="25">
        <v>0</v>
      </c>
      <c r="H477" s="25">
        <v>0</v>
      </c>
      <c r="I477" s="25">
        <v>0</v>
      </c>
      <c r="J477" s="25">
        <v>0</v>
      </c>
      <c r="K477" s="25">
        <v>0</v>
      </c>
      <c r="L477" s="25">
        <v>0</v>
      </c>
      <c r="M477" s="26">
        <f>IF(G477&gt;0,J477/G477,0)</f>
      </c>
    </row>
    <row r="478" ht="14.4" customHeight="1">
      <c r="A478" s="21" t="str">
        <v/>
      </c>
      <c r="B478" s="22" t="str">
        <v>2.3.1.6.1.1     DE VEHICULOS</v>
      </c>
      <c r="C478" s="23" t="str">
        <v/>
      </c>
      <c r="D478" s="24">
        <v>92955</v>
      </c>
      <c r="E478" s="24">
        <v>0</v>
      </c>
      <c r="F478" s="24">
        <v>92955</v>
      </c>
      <c r="G478" s="25">
        <v>0</v>
      </c>
      <c r="H478" s="25">
        <v>0</v>
      </c>
      <c r="I478" s="25">
        <v>34650</v>
      </c>
      <c r="J478" s="25">
        <v>29680</v>
      </c>
      <c r="K478" s="25">
        <v>29680</v>
      </c>
      <c r="L478" s="25">
        <v>29680</v>
      </c>
      <c r="M478" s="26">
        <f>IF(G478&gt;0,J478/G478,0)</f>
      </c>
    </row>
    <row r="479" ht="14.4" customHeight="1">
      <c r="A479" s="21" t="str">
        <v/>
      </c>
      <c r="B479" s="22" t="str">
        <v>2.3.1.99.1.99     OTROS BIENES</v>
      </c>
      <c r="C479" s="23" t="str">
        <v/>
      </c>
      <c r="D479" s="24">
        <v>13000</v>
      </c>
      <c r="E479" s="24">
        <v>-13000</v>
      </c>
      <c r="F479" s="24">
        <v>0</v>
      </c>
      <c r="G479" s="25">
        <v>0</v>
      </c>
      <c r="H479" s="25">
        <v>0</v>
      </c>
      <c r="I479" s="25">
        <v>0</v>
      </c>
      <c r="J479" s="25">
        <v>0</v>
      </c>
      <c r="K479" s="25">
        <v>0</v>
      </c>
      <c r="L479" s="25">
        <v>0</v>
      </c>
      <c r="M479" s="26">
        <f>IF(G479&gt;0,J479/G479,0)</f>
      </c>
    </row>
    <row r="480" ht="14.4" customHeight="1">
      <c r="A480" s="21" t="str">
        <v/>
      </c>
      <c r="B480" s="22" t="str">
        <v>2.3.2.4.5.1     DE VEHICULOS</v>
      </c>
      <c r="C480" s="23" t="str">
        <v/>
      </c>
      <c r="D480" s="24">
        <v>0</v>
      </c>
      <c r="E480" s="24">
        <v>89500</v>
      </c>
      <c r="F480" s="24">
        <v>89500</v>
      </c>
      <c r="G480" s="25">
        <v>89500</v>
      </c>
      <c r="H480" s="25">
        <v>89500</v>
      </c>
      <c r="I480" s="25">
        <v>89500</v>
      </c>
      <c r="J480" s="25">
        <v>89500</v>
      </c>
      <c r="K480" s="25">
        <v>89500</v>
      </c>
      <c r="L480" s="25">
        <v>89500</v>
      </c>
      <c r="M480" s="26">
        <f>IF(G480&gt;0,J480/G480,0)</f>
      </c>
    </row>
    <row r="481" ht="14.4" customHeight="1">
      <c r="A481" s="21" t="str">
        <v/>
      </c>
      <c r="B481" s="22" t="str">
        <v>2.3.2.4.7.1     DE MAQUINARIAS Y EQUIPOS</v>
      </c>
      <c r="C481" s="23" t="str">
        <v/>
      </c>
      <c r="D481" s="24">
        <v>14365</v>
      </c>
      <c r="E481" s="24">
        <v>0</v>
      </c>
      <c r="F481" s="24">
        <v>14365</v>
      </c>
      <c r="G481" s="25">
        <v>0</v>
      </c>
      <c r="H481" s="25">
        <v>0</v>
      </c>
      <c r="I481" s="25">
        <v>0</v>
      </c>
      <c r="J481" s="25">
        <v>0</v>
      </c>
      <c r="K481" s="25">
        <v>0</v>
      </c>
      <c r="L481" s="25">
        <v>0</v>
      </c>
      <c r="M481" s="26">
        <f>IF(G481&gt;0,J481/G481,0)</f>
      </c>
    </row>
    <row r="482" ht="14.4" customHeight="1">
      <c r="A482" s="21" t="str">
        <v/>
      </c>
      <c r="B482" s="22" t="str">
        <v>2.3.2.7.11.99     SERVICIOS DIVERSOS</v>
      </c>
      <c r="C482" s="23" t="str">
        <v/>
      </c>
      <c r="D482" s="24">
        <v>84300</v>
      </c>
      <c r="E482" s="24">
        <v>0</v>
      </c>
      <c r="F482" s="24">
        <v>84300</v>
      </c>
      <c r="G482" s="25">
        <v>84300</v>
      </c>
      <c r="H482" s="25">
        <v>84300</v>
      </c>
      <c r="I482" s="25">
        <v>84300</v>
      </c>
      <c r="J482" s="25">
        <v>84300</v>
      </c>
      <c r="K482" s="25">
        <v>83654.8</v>
      </c>
      <c r="L482" s="25">
        <v>83654.8</v>
      </c>
      <c r="M482" s="26">
        <f>IF(G482&gt;0,J482/G482,0)</f>
      </c>
    </row>
    <row r="483" ht="14.4" customHeight="1">
      <c r="A483" s="15" t="str">
        <v>0048</v>
      </c>
      <c r="B483" s="16" t="str">
        <v>ASESORAMIENTO TECNICO JURIDICO</v>
      </c>
      <c r="C483" s="17" t="str">
        <v/>
      </c>
      <c r="D483" s="18">
        <v>73000</v>
      </c>
      <c r="E483" s="18">
        <v>0</v>
      </c>
      <c r="F483" s="18">
        <v>73000</v>
      </c>
      <c r="G483" s="19">
        <v>20000</v>
      </c>
      <c r="H483" s="19">
        <v>6000</v>
      </c>
      <c r="I483" s="19">
        <v>27000</v>
      </c>
      <c r="J483" s="19">
        <v>15500</v>
      </c>
      <c r="K483" s="19">
        <v>15500</v>
      </c>
      <c r="L483" s="19">
        <v>15500</v>
      </c>
      <c r="M483" s="20">
        <f>IF(G483&gt;0,J483/G483,0)</f>
      </c>
    </row>
    <row r="484" ht="14.4" customHeight="1">
      <c r="A484" s="15" t="str">
        <v/>
      </c>
      <c r="B484" s="16" t="str">
        <v>07 FONDO DE COMPENSACION MUNICIPAL</v>
      </c>
      <c r="C484" s="17" t="str">
        <v/>
      </c>
      <c r="D484" s="18">
        <v>73000</v>
      </c>
      <c r="E484" s="18">
        <v>0</v>
      </c>
      <c r="F484" s="18">
        <v>73000</v>
      </c>
      <c r="G484" s="19">
        <v>20000</v>
      </c>
      <c r="H484" s="19">
        <v>6000</v>
      </c>
      <c r="I484" s="19">
        <v>27000</v>
      </c>
      <c r="J484" s="19">
        <v>15500</v>
      </c>
      <c r="K484" s="19">
        <v>15500</v>
      </c>
      <c r="L484" s="19">
        <v>15500</v>
      </c>
      <c r="M484" s="20">
        <f>IF(G484&gt;0,J484/G484,0)</f>
      </c>
    </row>
    <row r="485" ht="14.4" customHeight="1">
      <c r="A485" s="21" t="str">
        <v/>
      </c>
      <c r="B485" s="22" t="str">
        <v>2.3.1.99.1.99     OTROS BIENES</v>
      </c>
      <c r="C485" s="23" t="str">
        <v/>
      </c>
      <c r="D485" s="24">
        <v>1000</v>
      </c>
      <c r="E485" s="24">
        <v>0</v>
      </c>
      <c r="F485" s="24">
        <v>1000</v>
      </c>
      <c r="G485" s="25">
        <v>0</v>
      </c>
      <c r="H485" s="25">
        <v>0</v>
      </c>
      <c r="I485" s="25">
        <v>0</v>
      </c>
      <c r="J485" s="25">
        <v>0</v>
      </c>
      <c r="K485" s="25">
        <v>0</v>
      </c>
      <c r="L485" s="25">
        <v>0</v>
      </c>
      <c r="M485" s="26">
        <f>IF(G485&gt;0,J485/G485,0)</f>
      </c>
    </row>
    <row r="486" ht="14.4" customHeight="1">
      <c r="A486" s="21" t="str">
        <v/>
      </c>
      <c r="B486" s="22" t="str">
        <v>2.3.2.1.2.1     PASAJES Y GASTOS DE TRANSPORTE</v>
      </c>
      <c r="C486" s="23" t="str">
        <v/>
      </c>
      <c r="D486" s="24">
        <v>4000</v>
      </c>
      <c r="E486" s="24">
        <v>0</v>
      </c>
      <c r="F486" s="24">
        <v>4000</v>
      </c>
      <c r="G486" s="25">
        <v>0</v>
      </c>
      <c r="H486" s="25">
        <v>0</v>
      </c>
      <c r="I486" s="25">
        <v>0</v>
      </c>
      <c r="J486" s="25">
        <v>0</v>
      </c>
      <c r="K486" s="25">
        <v>0</v>
      </c>
      <c r="L486" s="25">
        <v>0</v>
      </c>
      <c r="M486" s="26">
        <f>IF(G486&gt;0,J486/G486,0)</f>
      </c>
    </row>
    <row r="487" ht="14.4" customHeight="1">
      <c r="A487" s="21" t="str">
        <v/>
      </c>
      <c r="B487" s="22" t="str">
        <v>2.3.2.1.2.2     VIATICOS Y ASIGNACIONES POR COMISION DE SERVICIO</v>
      </c>
      <c r="C487" s="23" t="str">
        <v/>
      </c>
      <c r="D487" s="24">
        <v>6000</v>
      </c>
      <c r="E487" s="24">
        <v>0</v>
      </c>
      <c r="F487" s="24">
        <v>6000</v>
      </c>
      <c r="G487" s="25">
        <v>0</v>
      </c>
      <c r="H487" s="25">
        <v>0</v>
      </c>
      <c r="I487" s="25">
        <v>0</v>
      </c>
      <c r="J487" s="25">
        <v>0</v>
      </c>
      <c r="K487" s="25">
        <v>0</v>
      </c>
      <c r="L487" s="25">
        <v>0</v>
      </c>
      <c r="M487" s="26">
        <f>IF(G487&gt;0,J487/G487,0)</f>
      </c>
    </row>
    <row r="488" ht="14.4" customHeight="1">
      <c r="A488" s="21" t="str">
        <v/>
      </c>
      <c r="B488" s="22" t="str">
        <v>2.3.2.1.2.99     OTROS GASTOS</v>
      </c>
      <c r="C488" s="23" t="str">
        <v/>
      </c>
      <c r="D488" s="24">
        <v>2000</v>
      </c>
      <c r="E488" s="24">
        <v>0</v>
      </c>
      <c r="F488" s="24">
        <v>2000</v>
      </c>
      <c r="G488" s="25">
        <v>0</v>
      </c>
      <c r="H488" s="25">
        <v>0</v>
      </c>
      <c r="I488" s="25">
        <v>0</v>
      </c>
      <c r="J488" s="25">
        <v>0</v>
      </c>
      <c r="K488" s="25">
        <v>0</v>
      </c>
      <c r="L488" s="25">
        <v>0</v>
      </c>
      <c r="M488" s="26">
        <f>IF(G488&gt;0,J488/G488,0)</f>
      </c>
    </row>
    <row r="489" ht="14.4" customHeight="1">
      <c r="A489" s="21" t="str">
        <v/>
      </c>
      <c r="B489" s="22" t="str">
        <v>2.3.2.9.1.1     LOCACIÓN DE SERVICIOS REALIZADOS POR PERSONA NATURAL</v>
      </c>
      <c r="C489" s="23" t="str">
        <v/>
      </c>
      <c r="D489" s="24">
        <v>60000</v>
      </c>
      <c r="E489" s="24">
        <v>0</v>
      </c>
      <c r="F489" s="24">
        <v>60000</v>
      </c>
      <c r="G489" s="25">
        <v>20000</v>
      </c>
      <c r="H489" s="25">
        <v>6000</v>
      </c>
      <c r="I489" s="25">
        <v>27000</v>
      </c>
      <c r="J489" s="25">
        <v>15500</v>
      </c>
      <c r="K489" s="25">
        <v>15500</v>
      </c>
      <c r="L489" s="25">
        <v>15500</v>
      </c>
      <c r="M489" s="26">
        <f>IF(G489&gt;0,J489/G489,0)</f>
      </c>
    </row>
    <row r="490" ht="14.4" customHeight="1">
      <c r="A490" s="15" t="str">
        <v>0049</v>
      </c>
      <c r="B490" s="16" t="str">
        <v>CONTROL Y AUDITORIA</v>
      </c>
      <c r="C490" s="17" t="str">
        <v/>
      </c>
      <c r="D490" s="18">
        <v>185933</v>
      </c>
      <c r="E490" s="18">
        <v>0</v>
      </c>
      <c r="F490" s="18">
        <v>185933</v>
      </c>
      <c r="G490" s="19">
        <v>24000</v>
      </c>
      <c r="H490" s="19">
        <v>24000</v>
      </c>
      <c r="I490" s="19">
        <v>24000</v>
      </c>
      <c r="J490" s="19">
        <v>12000</v>
      </c>
      <c r="K490" s="19">
        <v>11988</v>
      </c>
      <c r="L490" s="19">
        <v>11988</v>
      </c>
      <c r="M490" s="20">
        <f>IF(G490&gt;0,J490/G490,0)</f>
      </c>
    </row>
    <row r="491" ht="14.4" customHeight="1">
      <c r="A491" s="15" t="str">
        <v/>
      </c>
      <c r="B491" s="16" t="str">
        <v>07 FONDO DE COMPENSACION MUNICIPAL</v>
      </c>
      <c r="C491" s="17" t="str">
        <v/>
      </c>
      <c r="D491" s="18">
        <v>185933</v>
      </c>
      <c r="E491" s="18">
        <v>0</v>
      </c>
      <c r="F491" s="18">
        <v>185933</v>
      </c>
      <c r="G491" s="19">
        <v>24000</v>
      </c>
      <c r="H491" s="19">
        <v>24000</v>
      </c>
      <c r="I491" s="19">
        <v>24000</v>
      </c>
      <c r="J491" s="19">
        <v>12000</v>
      </c>
      <c r="K491" s="19">
        <v>11988</v>
      </c>
      <c r="L491" s="19">
        <v>11988</v>
      </c>
      <c r="M491" s="20">
        <f>IF(G491&gt;0,J491/G491,0)</f>
      </c>
    </row>
    <row r="492" ht="14.4" customHeight="1">
      <c r="A492" s="21" t="str">
        <v/>
      </c>
      <c r="B492" s="22" t="str">
        <v>2.3.1.5.3.1     ASEO, LIMPIEZA Y TOCADOR</v>
      </c>
      <c r="C492" s="23" t="str">
        <v/>
      </c>
      <c r="D492" s="24">
        <v>500</v>
      </c>
      <c r="E492" s="24">
        <v>0</v>
      </c>
      <c r="F492" s="24">
        <v>500</v>
      </c>
      <c r="G492" s="25">
        <v>0</v>
      </c>
      <c r="H492" s="25">
        <v>0</v>
      </c>
      <c r="I492" s="25">
        <v>0</v>
      </c>
      <c r="J492" s="25">
        <v>0</v>
      </c>
      <c r="K492" s="25">
        <v>0</v>
      </c>
      <c r="L492" s="25">
        <v>0</v>
      </c>
      <c r="M492" s="26">
        <f>IF(G492&gt;0,J492/G492,0)</f>
      </c>
    </row>
    <row r="493" ht="14.4" customHeight="1">
      <c r="A493" s="21" t="str">
        <v/>
      </c>
      <c r="B493" s="22" t="str">
        <v>2.3.2.1.2.1     PASAJES Y GASTOS DE TRANSPORTE</v>
      </c>
      <c r="C493" s="23" t="str">
        <v/>
      </c>
      <c r="D493" s="24">
        <v>2000</v>
      </c>
      <c r="E493" s="24">
        <v>-2000</v>
      </c>
      <c r="F493" s="24">
        <v>0</v>
      </c>
      <c r="G493" s="25">
        <v>0</v>
      </c>
      <c r="H493" s="25">
        <v>0</v>
      </c>
      <c r="I493" s="25">
        <v>0</v>
      </c>
      <c r="J493" s="25">
        <v>0</v>
      </c>
      <c r="K493" s="25">
        <v>0</v>
      </c>
      <c r="L493" s="25">
        <v>0</v>
      </c>
      <c r="M493" s="26">
        <f>IF(G493&gt;0,J493/G493,0)</f>
      </c>
    </row>
    <row r="494" ht="14.4" customHeight="1">
      <c r="A494" s="21" t="str">
        <v/>
      </c>
      <c r="B494" s="22" t="str">
        <v>2.3.2.1.2.2     VIATICOS Y ASIGNACIONES POR COMISION DE SERVICIO</v>
      </c>
      <c r="C494" s="23" t="str">
        <v/>
      </c>
      <c r="D494" s="24">
        <v>3000</v>
      </c>
      <c r="E494" s="24">
        <v>-3000</v>
      </c>
      <c r="F494" s="24">
        <v>0</v>
      </c>
      <c r="G494" s="25">
        <v>0</v>
      </c>
      <c r="H494" s="25">
        <v>0</v>
      </c>
      <c r="I494" s="25">
        <v>0</v>
      </c>
      <c r="J494" s="25">
        <v>0</v>
      </c>
      <c r="K494" s="25">
        <v>-12</v>
      </c>
      <c r="L494" s="25">
        <v>-12</v>
      </c>
      <c r="M494" s="26">
        <f>IF(G494&gt;0,J494/G494,0)</f>
      </c>
    </row>
    <row r="495" ht="14.4" customHeight="1">
      <c r="A495" s="21" t="str">
        <v/>
      </c>
      <c r="B495" s="22" t="str">
        <v>2.3.2.1.2.99     OTROS GASTOS</v>
      </c>
      <c r="C495" s="23" t="str">
        <v/>
      </c>
      <c r="D495" s="24">
        <v>1000</v>
      </c>
      <c r="E495" s="24">
        <v>-1000</v>
      </c>
      <c r="F495" s="24">
        <v>0</v>
      </c>
      <c r="G495" s="25">
        <v>0</v>
      </c>
      <c r="H495" s="25">
        <v>0</v>
      </c>
      <c r="I495" s="25">
        <v>0</v>
      </c>
      <c r="J495" s="25">
        <v>0</v>
      </c>
      <c r="K495" s="25">
        <v>0</v>
      </c>
      <c r="L495" s="25">
        <v>0</v>
      </c>
      <c r="M495" s="26">
        <f>IF(G495&gt;0,J495/G495,0)</f>
      </c>
    </row>
    <row r="496" ht="14.4" customHeight="1">
      <c r="A496" s="21" t="str">
        <v/>
      </c>
      <c r="B496" s="22" t="str">
        <v>2.3.2.2.3.1     CORREOS Y SERVICIOS DE MENSAJERIA</v>
      </c>
      <c r="C496" s="23" t="str">
        <v/>
      </c>
      <c r="D496" s="24">
        <v>3600</v>
      </c>
      <c r="E496" s="24">
        <v>-3600</v>
      </c>
      <c r="F496" s="24">
        <v>0</v>
      </c>
      <c r="G496" s="25">
        <v>0</v>
      </c>
      <c r="H496" s="25">
        <v>0</v>
      </c>
      <c r="I496" s="25">
        <v>0</v>
      </c>
      <c r="J496" s="25">
        <v>0</v>
      </c>
      <c r="K496" s="25">
        <v>0</v>
      </c>
      <c r="L496" s="25">
        <v>0</v>
      </c>
      <c r="M496" s="26">
        <f>IF(G496&gt;0,J496/G496,0)</f>
      </c>
    </row>
    <row r="497" ht="14.4" customHeight="1">
      <c r="A497" s="21" t="str">
        <v/>
      </c>
      <c r="B497" s="22" t="str">
        <v>2.3.2.6.1.2     GASTOS NOTARIALES</v>
      </c>
      <c r="C497" s="23" t="str">
        <v/>
      </c>
      <c r="D497" s="24">
        <v>2000</v>
      </c>
      <c r="E497" s="24">
        <v>-2000</v>
      </c>
      <c r="F497" s="24">
        <v>0</v>
      </c>
      <c r="G497" s="25">
        <v>0</v>
      </c>
      <c r="H497" s="25">
        <v>0</v>
      </c>
      <c r="I497" s="25">
        <v>0</v>
      </c>
      <c r="J497" s="25">
        <v>0</v>
      </c>
      <c r="K497" s="25">
        <v>0</v>
      </c>
      <c r="L497" s="25">
        <v>0</v>
      </c>
      <c r="M497" s="26">
        <f>IF(G497&gt;0,J497/G497,0)</f>
      </c>
    </row>
    <row r="498" ht="14.4" customHeight="1">
      <c r="A498" s="21" t="str">
        <v/>
      </c>
      <c r="B498" s="22" t="str">
        <v>2.3.2.7.11.99     SERVICIOS DIVERSOS</v>
      </c>
      <c r="C498" s="23" t="str">
        <v/>
      </c>
      <c r="D498" s="24">
        <v>10000</v>
      </c>
      <c r="E498" s="24">
        <v>0</v>
      </c>
      <c r="F498" s="24">
        <v>10000</v>
      </c>
      <c r="G498" s="25">
        <v>0</v>
      </c>
      <c r="H498" s="25">
        <v>0</v>
      </c>
      <c r="I498" s="25">
        <v>0</v>
      </c>
      <c r="J498" s="25">
        <v>0</v>
      </c>
      <c r="K498" s="25">
        <v>0</v>
      </c>
      <c r="L498" s="25">
        <v>0</v>
      </c>
      <c r="M498" s="26">
        <f>IF(G498&gt;0,J498/G498,0)</f>
      </c>
    </row>
    <row r="499" ht="14.4" customHeight="1">
      <c r="A499" s="21" t="str">
        <v/>
      </c>
      <c r="B499" s="22" t="str">
        <v>2.3.2.9.1.1     LOCACIÓN DE SERVICIOS REALIZADOS POR PERSONA NATURAL</v>
      </c>
      <c r="C499" s="23" t="str">
        <v/>
      </c>
      <c r="D499" s="24">
        <v>55000</v>
      </c>
      <c r="E499" s="24">
        <v>11600</v>
      </c>
      <c r="F499" s="24">
        <v>66600</v>
      </c>
      <c r="G499" s="25">
        <v>24000</v>
      </c>
      <c r="H499" s="25">
        <v>24000</v>
      </c>
      <c r="I499" s="25">
        <v>24000</v>
      </c>
      <c r="J499" s="25">
        <v>12000</v>
      </c>
      <c r="K499" s="25">
        <v>12000</v>
      </c>
      <c r="L499" s="25">
        <v>12000</v>
      </c>
      <c r="M499" s="26">
        <f>IF(G499&gt;0,J499/G499,0)</f>
      </c>
    </row>
    <row r="500" ht="14.4" customHeight="1">
      <c r="A500" s="21" t="str">
        <v/>
      </c>
      <c r="B500" s="22" t="str">
        <v>2.4.1.3.1.1     A OTRAS UNIDADES DEL GOBIERNO NACIONAL</v>
      </c>
      <c r="C500" s="23" t="str">
        <v/>
      </c>
      <c r="D500" s="24">
        <v>103833</v>
      </c>
      <c r="E500" s="24">
        <v>0</v>
      </c>
      <c r="F500" s="24">
        <v>103833</v>
      </c>
      <c r="G500" s="25">
        <v>0</v>
      </c>
      <c r="H500" s="25">
        <v>0</v>
      </c>
      <c r="I500" s="25">
        <v>0</v>
      </c>
      <c r="J500" s="25">
        <v>0</v>
      </c>
      <c r="K500" s="25">
        <v>0</v>
      </c>
      <c r="L500" s="25">
        <v>0</v>
      </c>
      <c r="M500" s="26">
        <f>IF(G500&gt;0,J500/G500,0)</f>
      </c>
    </row>
    <row r="501" ht="14.4" customHeight="1">
      <c r="A501" s="21" t="str">
        <v/>
      </c>
      <c r="B501" s="22" t="str">
        <v>2.6.3.2.1.2     MOBILIARIO</v>
      </c>
      <c r="C501" s="23" t="str">
        <v/>
      </c>
      <c r="D501" s="24">
        <v>5000</v>
      </c>
      <c r="E501" s="24">
        <v>0</v>
      </c>
      <c r="F501" s="24">
        <v>5000</v>
      </c>
      <c r="G501" s="25">
        <v>0</v>
      </c>
      <c r="H501" s="25">
        <v>0</v>
      </c>
      <c r="I501" s="25">
        <v>0</v>
      </c>
      <c r="J501" s="25">
        <v>0</v>
      </c>
      <c r="K501" s="25">
        <v>0</v>
      </c>
      <c r="L501" s="25">
        <v>0</v>
      </c>
      <c r="M501" s="26">
        <f>IF(G501&gt;0,J501/G501,0)</f>
      </c>
    </row>
    <row r="502" ht="14.4" customHeight="1">
      <c r="A502" s="15" t="str">
        <v>0050</v>
      </c>
      <c r="B502" s="16" t="str">
        <v>DEFENSA JUDICIAL DEL ESTADO</v>
      </c>
      <c r="C502" s="17" t="str">
        <v/>
      </c>
      <c r="D502" s="18">
        <v>44000</v>
      </c>
      <c r="E502" s="18">
        <v>24000</v>
      </c>
      <c r="F502" s="18">
        <v>68000</v>
      </c>
      <c r="G502" s="19">
        <v>18000</v>
      </c>
      <c r="H502" s="19">
        <v>18000</v>
      </c>
      <c r="I502" s="19">
        <v>19330</v>
      </c>
      <c r="J502" s="19">
        <v>19330</v>
      </c>
      <c r="K502" s="19">
        <v>19330</v>
      </c>
      <c r="L502" s="19">
        <v>19330</v>
      </c>
      <c r="M502" s="20">
        <f>IF(G502&gt;0,J502/G502,0)</f>
      </c>
    </row>
    <row r="503" ht="14.4" customHeight="1">
      <c r="A503" s="15" t="str">
        <v/>
      </c>
      <c r="B503" s="16" t="str">
        <v>07 FONDO DE COMPENSACION MUNICIPAL</v>
      </c>
      <c r="C503" s="17" t="str">
        <v/>
      </c>
      <c r="D503" s="18">
        <v>44000</v>
      </c>
      <c r="E503" s="18">
        <v>24000</v>
      </c>
      <c r="F503" s="18">
        <v>68000</v>
      </c>
      <c r="G503" s="19">
        <v>18000</v>
      </c>
      <c r="H503" s="19">
        <v>18000</v>
      </c>
      <c r="I503" s="19">
        <v>19330</v>
      </c>
      <c r="J503" s="19">
        <v>19330</v>
      </c>
      <c r="K503" s="19">
        <v>19330</v>
      </c>
      <c r="L503" s="19">
        <v>19330</v>
      </c>
      <c r="M503" s="20">
        <f>IF(G503&gt;0,J503/G503,0)</f>
      </c>
    </row>
    <row r="504" ht="14.4" customHeight="1">
      <c r="A504" s="21" t="str">
        <v/>
      </c>
      <c r="B504" s="22" t="str">
        <v>2.3.1.5.1.1     REPUESTOS Y ACCESORIOS</v>
      </c>
      <c r="C504" s="23" t="str">
        <v/>
      </c>
      <c r="D504" s="24">
        <v>1000</v>
      </c>
      <c r="E504" s="24">
        <v>0</v>
      </c>
      <c r="F504" s="24">
        <v>1000</v>
      </c>
      <c r="G504" s="25">
        <v>0</v>
      </c>
      <c r="H504" s="25">
        <v>0</v>
      </c>
      <c r="I504" s="25">
        <v>0</v>
      </c>
      <c r="J504" s="25">
        <v>0</v>
      </c>
      <c r="K504" s="25">
        <v>0</v>
      </c>
      <c r="L504" s="25">
        <v>0</v>
      </c>
      <c r="M504" s="26">
        <f>IF(G504&gt;0,J504/G504,0)</f>
      </c>
    </row>
    <row r="505" ht="14.4" customHeight="1">
      <c r="A505" s="21" t="str">
        <v/>
      </c>
      <c r="B505" s="22" t="str">
        <v>2.3.1.5.1.2     PAPELERIA EN GENERAL, UTILES Y MATERIALES DE OFICINA</v>
      </c>
      <c r="C505" s="23" t="str">
        <v/>
      </c>
      <c r="D505" s="24">
        <v>1000</v>
      </c>
      <c r="E505" s="24">
        <v>0</v>
      </c>
      <c r="F505" s="24">
        <v>1000</v>
      </c>
      <c r="G505" s="25">
        <v>0</v>
      </c>
      <c r="H505" s="25">
        <v>0</v>
      </c>
      <c r="I505" s="25">
        <v>0</v>
      </c>
      <c r="J505" s="25">
        <v>0</v>
      </c>
      <c r="K505" s="25">
        <v>0</v>
      </c>
      <c r="L505" s="25">
        <v>0</v>
      </c>
      <c r="M505" s="26">
        <f>IF(G505&gt;0,J505/G505,0)</f>
      </c>
    </row>
    <row r="506" ht="14.4" customHeight="1">
      <c r="A506" s="21" t="str">
        <v/>
      </c>
      <c r="B506" s="22" t="str">
        <v>2.3.2.1.2.1     PASAJES Y GASTOS DE TRANSPORTE</v>
      </c>
      <c r="C506" s="23" t="str">
        <v/>
      </c>
      <c r="D506" s="24">
        <v>3000</v>
      </c>
      <c r="E506" s="24">
        <v>0</v>
      </c>
      <c r="F506" s="24">
        <v>3000</v>
      </c>
      <c r="G506" s="25">
        <v>0</v>
      </c>
      <c r="H506" s="25">
        <v>0</v>
      </c>
      <c r="I506" s="25">
        <v>370</v>
      </c>
      <c r="J506" s="25">
        <v>370</v>
      </c>
      <c r="K506" s="25">
        <v>370</v>
      </c>
      <c r="L506" s="25">
        <v>370</v>
      </c>
      <c r="M506" s="26">
        <f>IF(G506&gt;0,J506/G506,0)</f>
      </c>
    </row>
    <row r="507" ht="14.4" customHeight="1">
      <c r="A507" s="21" t="str">
        <v/>
      </c>
      <c r="B507" s="22" t="str">
        <v>2.3.2.1.2.2     VIATICOS Y ASIGNACIONES POR COMISION DE SERVICIO</v>
      </c>
      <c r="C507" s="23" t="str">
        <v/>
      </c>
      <c r="D507" s="24">
        <v>3000</v>
      </c>
      <c r="E507" s="24">
        <v>0</v>
      </c>
      <c r="F507" s="24">
        <v>3000</v>
      </c>
      <c r="G507" s="25">
        <v>0</v>
      </c>
      <c r="H507" s="25">
        <v>0</v>
      </c>
      <c r="I507" s="25">
        <v>960</v>
      </c>
      <c r="J507" s="25">
        <v>960</v>
      </c>
      <c r="K507" s="25">
        <v>960</v>
      </c>
      <c r="L507" s="25">
        <v>960</v>
      </c>
      <c r="M507" s="26">
        <f>IF(G507&gt;0,J507/G507,0)</f>
      </c>
    </row>
    <row r="508" ht="14.4" customHeight="1">
      <c r="A508" s="21" t="str">
        <v/>
      </c>
      <c r="B508" s="22" t="str">
        <v>2.3.2.9.1.1     LOCACIÓN DE SERVICIOS REALIZADOS POR PERSONA NATURAL</v>
      </c>
      <c r="C508" s="23" t="str">
        <v/>
      </c>
      <c r="D508" s="24">
        <v>36000</v>
      </c>
      <c r="E508" s="24">
        <v>24000</v>
      </c>
      <c r="F508" s="24">
        <v>60000</v>
      </c>
      <c r="G508" s="25">
        <v>18000</v>
      </c>
      <c r="H508" s="25">
        <v>18000</v>
      </c>
      <c r="I508" s="25">
        <v>18000</v>
      </c>
      <c r="J508" s="25">
        <v>18000</v>
      </c>
      <c r="K508" s="25">
        <v>18000</v>
      </c>
      <c r="L508" s="25">
        <v>18000</v>
      </c>
      <c r="M508" s="26">
        <f>IF(G508&gt;0,J508/G508,0)</f>
      </c>
    </row>
    <row r="509" ht="14.4" customHeight="1">
      <c r="A509" s="15" t="str">
        <v>0051</v>
      </c>
      <c r="B509" s="16" t="str">
        <v>PLANEAMIENTO Y PRESUPUESTO</v>
      </c>
      <c r="C509" s="17" t="str">
        <v/>
      </c>
      <c r="D509" s="18">
        <v>70200</v>
      </c>
      <c r="E509" s="18">
        <v>0</v>
      </c>
      <c r="F509" s="18">
        <v>70200</v>
      </c>
      <c r="G509" s="19">
        <v>0</v>
      </c>
      <c r="H509" s="19">
        <v>0</v>
      </c>
      <c r="I509" s="19">
        <v>0</v>
      </c>
      <c r="J509" s="19">
        <v>0</v>
      </c>
      <c r="K509" s="19">
        <v>0</v>
      </c>
      <c r="L509" s="19">
        <v>0</v>
      </c>
      <c r="M509" s="20">
        <f>IF(G509&gt;0,J509/G509,0)</f>
      </c>
    </row>
    <row r="510" ht="14.4" customHeight="1">
      <c r="A510" s="15" t="str">
        <v/>
      </c>
      <c r="B510" s="16" t="str">
        <v>07 FONDO DE COMPENSACION MUNICIPAL</v>
      </c>
      <c r="C510" s="17" t="str">
        <v/>
      </c>
      <c r="D510" s="18">
        <v>70200</v>
      </c>
      <c r="E510" s="18">
        <v>0</v>
      </c>
      <c r="F510" s="18">
        <v>70200</v>
      </c>
      <c r="G510" s="19">
        <v>0</v>
      </c>
      <c r="H510" s="19">
        <v>0</v>
      </c>
      <c r="I510" s="19">
        <v>0</v>
      </c>
      <c r="J510" s="19">
        <v>0</v>
      </c>
      <c r="K510" s="19">
        <v>0</v>
      </c>
      <c r="L510" s="19">
        <v>0</v>
      </c>
      <c r="M510" s="20">
        <f>IF(G510&gt;0,J510/G510,0)</f>
      </c>
    </row>
    <row r="511" ht="14.4" customHeight="1">
      <c r="A511" s="21" t="str">
        <v/>
      </c>
      <c r="B511" s="22" t="str">
        <v>2.6.8.1.2.1     ESTUDIO DE PREINVERSION</v>
      </c>
      <c r="C511" s="23" t="str">
        <v/>
      </c>
      <c r="D511" s="24">
        <v>70200</v>
      </c>
      <c r="E511" s="24">
        <v>0</v>
      </c>
      <c r="F511" s="24">
        <v>70200</v>
      </c>
      <c r="G511" s="25">
        <v>0</v>
      </c>
      <c r="H511" s="25">
        <v>0</v>
      </c>
      <c r="I511" s="25">
        <v>0</v>
      </c>
      <c r="J511" s="25">
        <v>0</v>
      </c>
      <c r="K511" s="25">
        <v>0</v>
      </c>
      <c r="L511" s="25">
        <v>0</v>
      </c>
      <c r="M511" s="26">
        <f>IF(G511&gt;0,J511/G511,0)</f>
      </c>
    </row>
    <row r="512" ht="14.4" customHeight="1">
      <c r="A512" s="15" t="str">
        <v>0052</v>
      </c>
      <c r="B512" s="16" t="str">
        <v>ELABORACION DE ESTUDIOS DE PREINVERSION</v>
      </c>
      <c r="C512" s="17" t="str">
        <v/>
      </c>
      <c r="D512" s="18">
        <v>989150</v>
      </c>
      <c r="E512" s="18">
        <v>-245591</v>
      </c>
      <c r="F512" s="18">
        <v>743559</v>
      </c>
      <c r="G512" s="19">
        <v>0</v>
      </c>
      <c r="H512" s="19">
        <v>0</v>
      </c>
      <c r="I512" s="19">
        <v>20000</v>
      </c>
      <c r="J512" s="19">
        <v>20000</v>
      </c>
      <c r="K512" s="19">
        <v>0</v>
      </c>
      <c r="L512" s="19">
        <v>0</v>
      </c>
      <c r="M512" s="20">
        <f>IF(G512&gt;0,J512/G512,0)</f>
      </c>
    </row>
    <row r="513" ht="14.4" customHeight="1">
      <c r="A513" s="15" t="str">
        <v/>
      </c>
      <c r="B513" s="16" t="str">
        <v>07 FONDO DE COMPENSACION MUNICIPAL</v>
      </c>
      <c r="C513" s="17" t="str">
        <v/>
      </c>
      <c r="D513" s="18">
        <v>285006</v>
      </c>
      <c r="E513" s="18">
        <v>-111691</v>
      </c>
      <c r="F513" s="18">
        <v>173315</v>
      </c>
      <c r="G513" s="19">
        <v>0</v>
      </c>
      <c r="H513" s="19">
        <v>0</v>
      </c>
      <c r="I513" s="19">
        <v>0</v>
      </c>
      <c r="J513" s="19">
        <v>0</v>
      </c>
      <c r="K513" s="19">
        <v>0</v>
      </c>
      <c r="L513" s="19">
        <v>0</v>
      </c>
      <c r="M513" s="20">
        <f>IF(G513&gt;0,J513/G513,0)</f>
      </c>
    </row>
    <row r="514" ht="14.4" customHeight="1">
      <c r="A514" s="21" t="str">
        <v/>
      </c>
      <c r="B514" s="22" t="str">
        <v>2.6.8.1.2.1     ESTUDIO DE PREINVERSION</v>
      </c>
      <c r="C514" s="23" t="str">
        <v/>
      </c>
      <c r="D514" s="24">
        <v>285006</v>
      </c>
      <c r="E514" s="24">
        <v>-111691</v>
      </c>
      <c r="F514" s="24">
        <v>173315</v>
      </c>
      <c r="G514" s="25">
        <v>0</v>
      </c>
      <c r="H514" s="25">
        <v>0</v>
      </c>
      <c r="I514" s="25">
        <v>0</v>
      </c>
      <c r="J514" s="25">
        <v>0</v>
      </c>
      <c r="K514" s="25">
        <v>0</v>
      </c>
      <c r="L514" s="25">
        <v>0</v>
      </c>
      <c r="M514" s="26">
        <f>IF(G514&gt;0,J514/G514,0)</f>
      </c>
    </row>
    <row r="515" ht="14.4" customHeight="1">
      <c r="A515" s="15" t="str">
        <v/>
      </c>
      <c r="B515" s="16" t="str">
        <v>18 CANON Y SOBRECANON, REGALIAS, RENTA DE ADUANAS Y PARTICIPACIONES</v>
      </c>
      <c r="C515" s="17" t="str">
        <v/>
      </c>
      <c r="D515" s="18">
        <v>704144</v>
      </c>
      <c r="E515" s="18">
        <v>-133900</v>
      </c>
      <c r="F515" s="18">
        <v>570244</v>
      </c>
      <c r="G515" s="19">
        <v>0</v>
      </c>
      <c r="H515" s="19">
        <v>0</v>
      </c>
      <c r="I515" s="19">
        <v>20000</v>
      </c>
      <c r="J515" s="19">
        <v>20000</v>
      </c>
      <c r="K515" s="19">
        <v>0</v>
      </c>
      <c r="L515" s="19">
        <v>0</v>
      </c>
      <c r="M515" s="20">
        <f>IF(G515&gt;0,J515/G515,0)</f>
      </c>
    </row>
    <row r="516" ht="14.4" customHeight="1">
      <c r="A516" s="21" t="str">
        <v/>
      </c>
      <c r="B516" s="22" t="str">
        <v>2.6.8.1.2.1     ESTUDIO DE PREINVERSION</v>
      </c>
      <c r="C516" s="23" t="str">
        <v/>
      </c>
      <c r="D516" s="24">
        <v>704144</v>
      </c>
      <c r="E516" s="24">
        <v>-133900</v>
      </c>
      <c r="F516" s="24">
        <v>570244</v>
      </c>
      <c r="G516" s="25">
        <v>0</v>
      </c>
      <c r="H516" s="25">
        <v>0</v>
      </c>
      <c r="I516" s="25">
        <v>20000</v>
      </c>
      <c r="J516" s="25">
        <v>20000</v>
      </c>
      <c r="K516" s="25">
        <v>0</v>
      </c>
      <c r="L516" s="25">
        <v>0</v>
      </c>
      <c r="M516" s="26">
        <f>IF(G516&gt;0,J516/G516,0)</f>
      </c>
    </row>
    <row r="517" ht="14.4" customHeight="1">
      <c r="A517" s="15" t="str">
        <v>0053</v>
      </c>
      <c r="B517" s="16" t="str">
        <v>PLANEAMIENTO Y PRESUPUESTO</v>
      </c>
      <c r="C517" s="17" t="str">
        <v/>
      </c>
      <c r="D517" s="18">
        <v>46800</v>
      </c>
      <c r="E517" s="18">
        <v>0</v>
      </c>
      <c r="F517" s="18">
        <v>46800</v>
      </c>
      <c r="G517" s="19">
        <v>0</v>
      </c>
      <c r="H517" s="19">
        <v>0</v>
      </c>
      <c r="I517" s="19">
        <v>0</v>
      </c>
      <c r="J517" s="19">
        <v>0</v>
      </c>
      <c r="K517" s="19">
        <v>0</v>
      </c>
      <c r="L517" s="19">
        <v>0</v>
      </c>
      <c r="M517" s="20">
        <f>IF(G517&gt;0,J517/G517,0)</f>
      </c>
    </row>
    <row r="518" ht="14.4" customHeight="1">
      <c r="A518" s="15" t="str">
        <v/>
      </c>
      <c r="B518" s="16" t="str">
        <v>07 FONDO DE COMPENSACION MUNICIPAL</v>
      </c>
      <c r="C518" s="17" t="str">
        <v/>
      </c>
      <c r="D518" s="18">
        <v>46800</v>
      </c>
      <c r="E518" s="18">
        <v>0</v>
      </c>
      <c r="F518" s="18">
        <v>46800</v>
      </c>
      <c r="G518" s="19">
        <v>0</v>
      </c>
      <c r="H518" s="19">
        <v>0</v>
      </c>
      <c r="I518" s="19">
        <v>0</v>
      </c>
      <c r="J518" s="19">
        <v>0</v>
      </c>
      <c r="K518" s="19">
        <v>0</v>
      </c>
      <c r="L518" s="19">
        <v>0</v>
      </c>
      <c r="M518" s="20">
        <f>IF(G518&gt;0,J518/G518,0)</f>
      </c>
    </row>
    <row r="519" ht="14.4" customHeight="1">
      <c r="A519" s="21" t="str">
        <v/>
      </c>
      <c r="B519" s="22" t="str">
        <v>2.6.8.1.2.1     ESTUDIO DE PREINVERSION</v>
      </c>
      <c r="C519" s="23" t="str">
        <v/>
      </c>
      <c r="D519" s="24">
        <v>46800</v>
      </c>
      <c r="E519" s="24">
        <v>0</v>
      </c>
      <c r="F519" s="24">
        <v>46800</v>
      </c>
      <c r="G519" s="25">
        <v>0</v>
      </c>
      <c r="H519" s="25">
        <v>0</v>
      </c>
      <c r="I519" s="25">
        <v>0</v>
      </c>
      <c r="J519" s="25">
        <v>0</v>
      </c>
      <c r="K519" s="25">
        <v>0</v>
      </c>
      <c r="L519" s="25">
        <v>0</v>
      </c>
      <c r="M519" s="26">
        <f>IF(G519&gt;0,J519/G519,0)</f>
      </c>
    </row>
    <row r="520" ht="14.4" customHeight="1">
      <c r="A520" s="15" t="str">
        <v>0054</v>
      </c>
      <c r="B520" s="16" t="str">
        <v>ELABORACION DE ESTUDIOS DE PREINVERSION</v>
      </c>
      <c r="C520" s="17" t="str">
        <v/>
      </c>
      <c r="D520" s="18">
        <v>190004</v>
      </c>
      <c r="E520" s="18">
        <v>0</v>
      </c>
      <c r="F520" s="18">
        <v>190004</v>
      </c>
      <c r="G520" s="19">
        <v>0</v>
      </c>
      <c r="H520" s="19">
        <v>0</v>
      </c>
      <c r="I520" s="19">
        <v>0</v>
      </c>
      <c r="J520" s="19">
        <v>0</v>
      </c>
      <c r="K520" s="19">
        <v>0</v>
      </c>
      <c r="L520" s="19">
        <v>0</v>
      </c>
      <c r="M520" s="20">
        <f>IF(G520&gt;0,J520/G520,0)</f>
      </c>
    </row>
    <row r="521" ht="14.4" customHeight="1">
      <c r="A521" s="15" t="str">
        <v/>
      </c>
      <c r="B521" s="16" t="str">
        <v>07 FONDO DE COMPENSACION MUNICIPAL</v>
      </c>
      <c r="C521" s="17" t="str">
        <v/>
      </c>
      <c r="D521" s="18">
        <v>190004</v>
      </c>
      <c r="E521" s="18">
        <v>0</v>
      </c>
      <c r="F521" s="18">
        <v>190004</v>
      </c>
      <c r="G521" s="19">
        <v>0</v>
      </c>
      <c r="H521" s="19">
        <v>0</v>
      </c>
      <c r="I521" s="19">
        <v>0</v>
      </c>
      <c r="J521" s="19">
        <v>0</v>
      </c>
      <c r="K521" s="19">
        <v>0</v>
      </c>
      <c r="L521" s="19">
        <v>0</v>
      </c>
      <c r="M521" s="20">
        <f>IF(G521&gt;0,J521/G521,0)</f>
      </c>
    </row>
    <row r="522" ht="14.4" customHeight="1">
      <c r="A522" s="21" t="str">
        <v/>
      </c>
      <c r="B522" s="22" t="str">
        <v>2.6.8.1.2.1     ESTUDIO DE PREINVERSION</v>
      </c>
      <c r="C522" s="23" t="str">
        <v/>
      </c>
      <c r="D522" s="24">
        <v>190004</v>
      </c>
      <c r="E522" s="24">
        <v>0</v>
      </c>
      <c r="F522" s="24">
        <v>190004</v>
      </c>
      <c r="G522" s="25">
        <v>0</v>
      </c>
      <c r="H522" s="25">
        <v>0</v>
      </c>
      <c r="I522" s="25">
        <v>0</v>
      </c>
      <c r="J522" s="25">
        <v>0</v>
      </c>
      <c r="K522" s="25">
        <v>0</v>
      </c>
      <c r="L522" s="25">
        <v>0</v>
      </c>
      <c r="M522" s="26">
        <f>IF(G522&gt;0,J522/G522,0)</f>
      </c>
    </row>
    <row r="523" ht="14.4" customHeight="1">
      <c r="A523" s="15" t="str">
        <v>0055</v>
      </c>
      <c r="B523" s="16" t="str">
        <v>ELABORACION DE ESTUDIOS DE PREINVERSION</v>
      </c>
      <c r="C523" s="17" t="str">
        <v/>
      </c>
      <c r="D523" s="18">
        <v>156000</v>
      </c>
      <c r="E523" s="18">
        <v>98500</v>
      </c>
      <c r="F523" s="18">
        <v>254500</v>
      </c>
      <c r="G523" s="19">
        <v>0</v>
      </c>
      <c r="H523" s="19">
        <v>0</v>
      </c>
      <c r="I523" s="19">
        <v>84600</v>
      </c>
      <c r="J523" s="19">
        <v>0</v>
      </c>
      <c r="K523" s="19">
        <v>0</v>
      </c>
      <c r="L523" s="19">
        <v>0</v>
      </c>
      <c r="M523" s="20">
        <f>IF(G523&gt;0,J523/G523,0)</f>
      </c>
    </row>
    <row r="524" ht="14.4" customHeight="1">
      <c r="A524" s="15" t="str">
        <v/>
      </c>
      <c r="B524" s="16" t="str">
        <v>18 CANON Y SOBRECANON, REGALIAS, RENTA DE ADUANAS Y PARTICIPACIONES</v>
      </c>
      <c r="C524" s="17" t="str">
        <v/>
      </c>
      <c r="D524" s="18">
        <v>156000</v>
      </c>
      <c r="E524" s="18">
        <v>98500</v>
      </c>
      <c r="F524" s="18">
        <v>254500</v>
      </c>
      <c r="G524" s="19">
        <v>0</v>
      </c>
      <c r="H524" s="19">
        <v>0</v>
      </c>
      <c r="I524" s="19">
        <v>84600</v>
      </c>
      <c r="J524" s="19">
        <v>0</v>
      </c>
      <c r="K524" s="19">
        <v>0</v>
      </c>
      <c r="L524" s="19">
        <v>0</v>
      </c>
      <c r="M524" s="20">
        <f>IF(G524&gt;0,J524/G524,0)</f>
      </c>
    </row>
    <row r="525" ht="14.4" customHeight="1">
      <c r="A525" s="21" t="str">
        <v/>
      </c>
      <c r="B525" s="22" t="str">
        <v>2.6.8.1.2.1     ESTUDIO DE PREINVERSION</v>
      </c>
      <c r="C525" s="23" t="str">
        <v/>
      </c>
      <c r="D525" s="24">
        <v>156000</v>
      </c>
      <c r="E525" s="24">
        <v>98500</v>
      </c>
      <c r="F525" s="24">
        <v>254500</v>
      </c>
      <c r="G525" s="25">
        <v>0</v>
      </c>
      <c r="H525" s="25">
        <v>0</v>
      </c>
      <c r="I525" s="25">
        <v>84600</v>
      </c>
      <c r="J525" s="25">
        <v>0</v>
      </c>
      <c r="K525" s="25">
        <v>0</v>
      </c>
      <c r="L525" s="25">
        <v>0</v>
      </c>
      <c r="M525" s="26">
        <f>IF(G525&gt;0,J525/G525,0)</f>
      </c>
    </row>
    <row r="526" ht="14.4" customHeight="1">
      <c r="A526" s="15" t="str">
        <v>0056</v>
      </c>
      <c r="B526" s="16" t="str">
        <v>MEJORAMIENTO DE LOS SERVICIOS DE APOYO AL DESARROLLO PRODUCTIVO EN LA CADENA PRODUCTIVA DE TRIGO EN EL DISTRITO DE SONDOR, DISTRITO EL CARMEN, DE LA FRONTERA Y HUANCABAMBA - HUANCABAMBA - PIUR</v>
      </c>
      <c r="C526" s="17" t="str">
        <v/>
      </c>
      <c r="D526" s="18">
        <v>1619531</v>
      </c>
      <c r="E526" s="18">
        <v>-727984</v>
      </c>
      <c r="F526" s="18">
        <v>891547</v>
      </c>
      <c r="G526" s="19">
        <v>234931</v>
      </c>
      <c r="H526" s="19">
        <v>206731</v>
      </c>
      <c r="I526" s="19">
        <v>275798</v>
      </c>
      <c r="J526" s="19">
        <v>172831</v>
      </c>
      <c r="K526" s="19">
        <v>52100</v>
      </c>
      <c r="L526" s="19">
        <v>52100</v>
      </c>
      <c r="M526" s="20">
        <f>IF(G526&gt;0,J526/G526,0)</f>
      </c>
    </row>
    <row r="527" ht="14.4" customHeight="1">
      <c r="A527" s="15" t="str">
        <v/>
      </c>
      <c r="B527" s="16" t="str">
        <v>07 FONDO DE COMPENSACION MUNICIPAL</v>
      </c>
      <c r="C527" s="17" t="str">
        <v/>
      </c>
      <c r="D527" s="18">
        <v>0</v>
      </c>
      <c r="E527" s="18">
        <v>0</v>
      </c>
      <c r="F527" s="18">
        <v>0</v>
      </c>
      <c r="G527" s="19">
        <v>0</v>
      </c>
      <c r="H527" s="19">
        <v>0</v>
      </c>
      <c r="I527" s="19">
        <v>0</v>
      </c>
      <c r="J527" s="19">
        <v>0</v>
      </c>
      <c r="K527" s="19">
        <v>0</v>
      </c>
      <c r="L527" s="19">
        <v>0</v>
      </c>
      <c r="M527" s="20">
        <f>IF(G527&gt;0,J527/G527,0)</f>
      </c>
    </row>
    <row r="528" ht="14.4" customHeight="1">
      <c r="A528" s="21" t="str">
        <v/>
      </c>
      <c r="B528" s="22" t="str">
        <v>2.6.2.3.99.5     COSTO DE CONSTRUCCION POR ADMINISTRACION DIRECTA - SERVICIOS</v>
      </c>
      <c r="C528" s="23" t="str">
        <v/>
      </c>
      <c r="D528" s="24">
        <v>0</v>
      </c>
      <c r="E528" s="24">
        <v>0</v>
      </c>
      <c r="F528" s="24">
        <v>0</v>
      </c>
      <c r="G528" s="25">
        <v>0</v>
      </c>
      <c r="H528" s="25">
        <v>0</v>
      </c>
      <c r="I528" s="25">
        <v>0</v>
      </c>
      <c r="J528" s="25">
        <v>0</v>
      </c>
      <c r="K528" s="25">
        <v>0</v>
      </c>
      <c r="L528" s="25">
        <v>0</v>
      </c>
      <c r="M528" s="26">
        <f>IF(G528&gt;0,J528/G528,0)</f>
      </c>
    </row>
    <row r="529" ht="14.4" customHeight="1">
      <c r="A529" s="15" t="str">
        <v/>
      </c>
      <c r="B529" s="16" t="str">
        <v>18 CANON Y SOBRECANON, REGALIAS, RENTA DE ADUANAS Y PARTICIPACIONES</v>
      </c>
      <c r="C529" s="17" t="str">
        <v/>
      </c>
      <c r="D529" s="18">
        <v>1619531</v>
      </c>
      <c r="E529" s="18">
        <v>-727984</v>
      </c>
      <c r="F529" s="18">
        <v>891547</v>
      </c>
      <c r="G529" s="19">
        <v>234931</v>
      </c>
      <c r="H529" s="19">
        <v>206731</v>
      </c>
      <c r="I529" s="19">
        <v>275798</v>
      </c>
      <c r="J529" s="19">
        <v>172831</v>
      </c>
      <c r="K529" s="19">
        <v>52100</v>
      </c>
      <c r="L529" s="19">
        <v>52100</v>
      </c>
      <c r="M529" s="20">
        <f>IF(G529&gt;0,J529/G529,0)</f>
      </c>
    </row>
    <row r="530" ht="14.4" customHeight="1">
      <c r="A530" s="21" t="str">
        <v/>
      </c>
      <c r="B530" s="22" t="str">
        <v>2.6.3.1.1.1     PARA TRANSPORTE TERRESTRE</v>
      </c>
      <c r="C530" s="23" t="str">
        <v/>
      </c>
      <c r="D530" s="24">
        <v>0</v>
      </c>
      <c r="E530" s="24">
        <v>42300</v>
      </c>
      <c r="F530" s="24">
        <v>42300</v>
      </c>
      <c r="G530" s="25">
        <v>42300</v>
      </c>
      <c r="H530" s="25">
        <v>42300</v>
      </c>
      <c r="I530" s="25">
        <v>42300</v>
      </c>
      <c r="J530" s="25">
        <v>42300</v>
      </c>
      <c r="K530" s="25">
        <v>0</v>
      </c>
      <c r="L530" s="25">
        <v>0</v>
      </c>
      <c r="M530" s="26">
        <f>IF(G530&gt;0,J530/G530,0)</f>
      </c>
    </row>
    <row r="531" ht="14.4" customHeight="1">
      <c r="A531" s="21" t="str">
        <v/>
      </c>
      <c r="B531" s="22" t="str">
        <v>2.6.3.2.2.1     MAQUINAS Y EQUIPOS</v>
      </c>
      <c r="C531" s="23" t="str">
        <v/>
      </c>
      <c r="D531" s="24">
        <v>0</v>
      </c>
      <c r="E531" s="24">
        <v>29000</v>
      </c>
      <c r="F531" s="24">
        <v>29000</v>
      </c>
      <c r="G531" s="25">
        <v>0</v>
      </c>
      <c r="H531" s="25">
        <v>0</v>
      </c>
      <c r="I531" s="25">
        <v>0</v>
      </c>
      <c r="J531" s="25">
        <v>0</v>
      </c>
      <c r="K531" s="25">
        <v>0</v>
      </c>
      <c r="L531" s="25">
        <v>0</v>
      </c>
      <c r="M531" s="26">
        <f>IF(G531&gt;0,J531/G531,0)</f>
      </c>
    </row>
    <row r="532" ht="14.4" customHeight="1">
      <c r="A532" s="21" t="str">
        <v/>
      </c>
      <c r="B532" s="22" t="str">
        <v>2.6.3.2.9.99     MAQUINARIAS, EQUIPOS Y MOBILIARIOS DE OTRAS INSTALACIONES</v>
      </c>
      <c r="C532" s="23" t="str">
        <v/>
      </c>
      <c r="D532" s="24">
        <v>0</v>
      </c>
      <c r="E532" s="24">
        <v>11500</v>
      </c>
      <c r="F532" s="24">
        <v>11500</v>
      </c>
      <c r="G532" s="25">
        <v>0</v>
      </c>
      <c r="H532" s="25">
        <v>0</v>
      </c>
      <c r="I532" s="25">
        <v>0</v>
      </c>
      <c r="J532" s="25">
        <v>0</v>
      </c>
      <c r="K532" s="25">
        <v>0</v>
      </c>
      <c r="L532" s="25">
        <v>0</v>
      </c>
      <c r="M532" s="26">
        <f>IF(G532&gt;0,J532/G532,0)</f>
      </c>
    </row>
    <row r="533" ht="14.4" customHeight="1">
      <c r="A533" s="21" t="str">
        <v/>
      </c>
      <c r="B533" s="22" t="str">
        <v>2.6.7.1.3.2     GASTOS POR LA COMPRA DE BIENES</v>
      </c>
      <c r="C533" s="23" t="str">
        <v/>
      </c>
      <c r="D533" s="24">
        <v>500000</v>
      </c>
      <c r="E533" s="24">
        <v>-141253</v>
      </c>
      <c r="F533" s="24">
        <v>358747</v>
      </c>
      <c r="G533" s="25">
        <v>62581</v>
      </c>
      <c r="H533" s="25">
        <v>52381</v>
      </c>
      <c r="I533" s="25">
        <v>62581</v>
      </c>
      <c r="J533" s="25">
        <v>52381</v>
      </c>
      <c r="K533" s="25">
        <v>8400</v>
      </c>
      <c r="L533" s="25">
        <v>8400</v>
      </c>
      <c r="M533" s="26">
        <f>IF(G533&gt;0,J533/G533,0)</f>
      </c>
    </row>
    <row r="534" ht="14.4" customHeight="1">
      <c r="A534" s="21" t="str">
        <v/>
      </c>
      <c r="B534" s="22" t="str">
        <v>2.6.7.1.3.3     GASTOS POR LA CONTRATACION DE SERVICIOS</v>
      </c>
      <c r="C534" s="23" t="str">
        <v/>
      </c>
      <c r="D534" s="24">
        <v>500000</v>
      </c>
      <c r="E534" s="24">
        <v>-50000</v>
      </c>
      <c r="F534" s="24">
        <v>450000</v>
      </c>
      <c r="G534" s="25">
        <v>130050</v>
      </c>
      <c r="H534" s="25">
        <v>112050</v>
      </c>
      <c r="I534" s="25">
        <v>170917</v>
      </c>
      <c r="J534" s="25">
        <v>78150</v>
      </c>
      <c r="K534" s="25">
        <v>43700</v>
      </c>
      <c r="L534" s="25">
        <v>43700</v>
      </c>
      <c r="M534" s="26">
        <f>IF(G534&gt;0,J534/G534,0)</f>
      </c>
    </row>
    <row r="535" ht="14.4" customHeight="1">
      <c r="A535" s="21" t="str">
        <v/>
      </c>
      <c r="B535" s="22" t="str">
        <v>2.6.8.1.3.1     ELABORACION DE EXPEDIENTES TECNICOS</v>
      </c>
      <c r="C535" s="23" t="str">
        <v/>
      </c>
      <c r="D535" s="24">
        <v>619531</v>
      </c>
      <c r="E535" s="24">
        <v>-619531</v>
      </c>
      <c r="F535" s="24">
        <v>0</v>
      </c>
      <c r="G535" s="25">
        <v>0</v>
      </c>
      <c r="H535" s="25">
        <v>0</v>
      </c>
      <c r="I535" s="25">
        <v>0</v>
      </c>
      <c r="J535" s="25">
        <v>0</v>
      </c>
      <c r="K535" s="25">
        <v>0</v>
      </c>
      <c r="L535" s="25">
        <v>0</v>
      </c>
      <c r="M535" s="26">
        <f>IF(G535&gt;0,J535/G535,0)</f>
      </c>
    </row>
    <row r="536" ht="14.4" customHeight="1">
      <c r="A536" s="15" t="str">
        <v>0057</v>
      </c>
      <c r="B536" s="16" t="str">
        <v>TRANSFERENCIA FINANCIERA PARA EL PAGO DE PLANILLAS DE REMUNERACIONES Y PENSIONES DE PERSONAL ACTIVO Y PENSIONISTA DE LAS SOCIEDADES DE BENEFICENCIA PUBLICA</v>
      </c>
      <c r="C536" s="17" t="str">
        <v/>
      </c>
      <c r="D536" s="18">
        <v>78625</v>
      </c>
      <c r="E536" s="18">
        <v>0</v>
      </c>
      <c r="F536" s="18">
        <v>78625</v>
      </c>
      <c r="G536" s="19">
        <v>78625</v>
      </c>
      <c r="H536" s="19">
        <v>78625</v>
      </c>
      <c r="I536" s="19">
        <v>78625</v>
      </c>
      <c r="J536" s="19">
        <v>78625</v>
      </c>
      <c r="K536" s="19">
        <v>78625</v>
      </c>
      <c r="L536" s="19">
        <v>78625</v>
      </c>
      <c r="M536" s="20">
        <f>IF(G536&gt;0,J536/G536,0)</f>
      </c>
    </row>
    <row r="537" ht="14.4" customHeight="1">
      <c r="A537" s="15" t="str">
        <v/>
      </c>
      <c r="B537" s="16" t="str">
        <v>00 RECURSOS ORDINARIOS</v>
      </c>
      <c r="C537" s="17" t="str">
        <v/>
      </c>
      <c r="D537" s="18">
        <v>78625</v>
      </c>
      <c r="E537" s="18">
        <v>0</v>
      </c>
      <c r="F537" s="18">
        <v>78625</v>
      </c>
      <c r="G537" s="19">
        <v>78625</v>
      </c>
      <c r="H537" s="19">
        <v>78625</v>
      </c>
      <c r="I537" s="19">
        <v>78625</v>
      </c>
      <c r="J537" s="19">
        <v>78625</v>
      </c>
      <c r="K537" s="19">
        <v>78625</v>
      </c>
      <c r="L537" s="19">
        <v>78625</v>
      </c>
      <c r="M537" s="20">
        <f>IF(G537&gt;0,J537/G537,0)</f>
      </c>
    </row>
    <row r="538" ht="14.4" customHeight="1">
      <c r="A538" s="21" t="str">
        <v/>
      </c>
      <c r="B538" s="22" t="str">
        <v>2.4.1.3.1.4     A OTRAS ENTIDADES PUBLICAS</v>
      </c>
      <c r="C538" s="23" t="str">
        <v/>
      </c>
      <c r="D538" s="24">
        <v>78625</v>
      </c>
      <c r="E538" s="24">
        <v>0</v>
      </c>
      <c r="F538" s="24">
        <v>78625</v>
      </c>
      <c r="G538" s="25">
        <v>78625</v>
      </c>
      <c r="H538" s="25">
        <v>78625</v>
      </c>
      <c r="I538" s="25">
        <v>78625</v>
      </c>
      <c r="J538" s="25">
        <v>78625</v>
      </c>
      <c r="K538" s="25">
        <v>78625</v>
      </c>
      <c r="L538" s="25">
        <v>78625</v>
      </c>
      <c r="M538" s="26">
        <f>IF(G538&gt;0,J538/G538,0)</f>
      </c>
    </row>
    <row r="539" ht="14.4" customHeight="1">
      <c r="A539" s="15" t="str">
        <v>0058</v>
      </c>
      <c r="B539" s="16" t="str">
        <v>ASISTENCIA AL CIUDADANO, FAMILIA Y DISCAPACITADO</v>
      </c>
      <c r="C539" s="17" t="str">
        <v/>
      </c>
      <c r="D539" s="18">
        <v>300000</v>
      </c>
      <c r="E539" s="18">
        <v>0</v>
      </c>
      <c r="F539" s="18">
        <v>300000</v>
      </c>
      <c r="G539" s="19">
        <v>1300</v>
      </c>
      <c r="H539" s="19">
        <v>1300</v>
      </c>
      <c r="I539" s="19">
        <v>19300</v>
      </c>
      <c r="J539" s="19">
        <v>19300</v>
      </c>
      <c r="K539" s="19">
        <v>1300</v>
      </c>
      <c r="L539" s="19">
        <v>1300</v>
      </c>
      <c r="M539" s="20">
        <f>IF(G539&gt;0,J539/G539,0)</f>
      </c>
    </row>
    <row r="540" ht="14.4" customHeight="1">
      <c r="A540" s="15" t="str">
        <v/>
      </c>
      <c r="B540" s="16" t="str">
        <v>09 RECURSOS DIRECTAMENTE RECAUDADOS</v>
      </c>
      <c r="C540" s="17" t="str">
        <v/>
      </c>
      <c r="D540" s="18">
        <v>300000</v>
      </c>
      <c r="E540" s="18">
        <v>0</v>
      </c>
      <c r="F540" s="18">
        <v>300000</v>
      </c>
      <c r="G540" s="19">
        <v>1300</v>
      </c>
      <c r="H540" s="19">
        <v>1300</v>
      </c>
      <c r="I540" s="19">
        <v>19300</v>
      </c>
      <c r="J540" s="19">
        <v>19300</v>
      </c>
      <c r="K540" s="19">
        <v>1300</v>
      </c>
      <c r="L540" s="19">
        <v>1300</v>
      </c>
      <c r="M540" s="20">
        <f>IF(G540&gt;0,J540/G540,0)</f>
      </c>
    </row>
    <row r="541" ht="14.4" customHeight="1">
      <c r="A541" s="21" t="str">
        <v/>
      </c>
      <c r="B541" s="22" t="str">
        <v>2.5.3.1.1.99     A OTRAS PERSONAS NATURALES</v>
      </c>
      <c r="C541" s="23" t="str">
        <v/>
      </c>
      <c r="D541" s="24">
        <v>300000</v>
      </c>
      <c r="E541" s="24">
        <v>0</v>
      </c>
      <c r="F541" s="24">
        <v>300000</v>
      </c>
      <c r="G541" s="25">
        <v>1300</v>
      </c>
      <c r="H541" s="25">
        <v>1300</v>
      </c>
      <c r="I541" s="25">
        <v>19300</v>
      </c>
      <c r="J541" s="25">
        <v>19300</v>
      </c>
      <c r="K541" s="25">
        <v>1300</v>
      </c>
      <c r="L541" s="25">
        <v>1300</v>
      </c>
      <c r="M541" s="26">
        <f>IF(G541&gt;0,J541/G541,0)</f>
      </c>
    </row>
    <row r="542" ht="14.4" customHeight="1">
      <c r="A542" s="15" t="str">
        <v>0059</v>
      </c>
      <c r="B542" s="16" t="str">
        <v>APOYO A LA ACCION COMUNAL</v>
      </c>
      <c r="C542" s="17" t="str">
        <v/>
      </c>
      <c r="D542" s="18">
        <v>100000</v>
      </c>
      <c r="E542" s="18">
        <v>-78000</v>
      </c>
      <c r="F542" s="18">
        <v>22000</v>
      </c>
      <c r="G542" s="19">
        <v>0</v>
      </c>
      <c r="H542" s="19">
        <v>0</v>
      </c>
      <c r="I542" s="19">
        <v>0</v>
      </c>
      <c r="J542" s="19">
        <v>0</v>
      </c>
      <c r="K542" s="19">
        <v>0</v>
      </c>
      <c r="L542" s="19">
        <v>0</v>
      </c>
      <c r="M542" s="20">
        <f>IF(G542&gt;0,J542/G542,0)</f>
      </c>
    </row>
    <row r="543" ht="14.4" customHeight="1">
      <c r="A543" s="15" t="str">
        <v/>
      </c>
      <c r="B543" s="16" t="str">
        <v>09 RECURSOS DIRECTAMENTE RECAUDADOS</v>
      </c>
      <c r="C543" s="17" t="str">
        <v/>
      </c>
      <c r="D543" s="18">
        <v>100000</v>
      </c>
      <c r="E543" s="18">
        <v>-78000</v>
      </c>
      <c r="F543" s="18">
        <v>22000</v>
      </c>
      <c r="G543" s="19">
        <v>0</v>
      </c>
      <c r="H543" s="19">
        <v>0</v>
      </c>
      <c r="I543" s="19">
        <v>0</v>
      </c>
      <c r="J543" s="19">
        <v>0</v>
      </c>
      <c r="K543" s="19">
        <v>0</v>
      </c>
      <c r="L543" s="19">
        <v>0</v>
      </c>
      <c r="M543" s="20">
        <f>IF(G543&gt;0,J543/G543,0)</f>
      </c>
    </row>
    <row r="544" ht="14.4" customHeight="1">
      <c r="A544" s="21" t="str">
        <v/>
      </c>
      <c r="B544" s="22" t="str">
        <v>2.2.2.3.99.99     OTROS BIENES DE ASISTENCIA SOCIAL</v>
      </c>
      <c r="C544" s="23" t="str">
        <v/>
      </c>
      <c r="D544" s="24">
        <v>100000</v>
      </c>
      <c r="E544" s="24">
        <v>-78000</v>
      </c>
      <c r="F544" s="24">
        <v>22000</v>
      </c>
      <c r="G544" s="25">
        <v>0</v>
      </c>
      <c r="H544" s="25">
        <v>0</v>
      </c>
      <c r="I544" s="25">
        <v>0</v>
      </c>
      <c r="J544" s="25">
        <v>0</v>
      </c>
      <c r="K544" s="25">
        <v>0</v>
      </c>
      <c r="L544" s="25">
        <v>0</v>
      </c>
      <c r="M544" s="26">
        <f>IF(G544&gt;0,J544/G544,0)</f>
      </c>
    </row>
    <row r="545" ht="14.4" customHeight="1">
      <c r="A545" s="15" t="str">
        <v>0060</v>
      </c>
      <c r="B545" s="16" t="str">
        <v>ATENCION BASICA DE SALUD</v>
      </c>
      <c r="C545" s="17" t="str">
        <v/>
      </c>
      <c r="D545" s="18">
        <v>250000</v>
      </c>
      <c r="E545" s="18">
        <v>-50000</v>
      </c>
      <c r="F545" s="18">
        <v>200000</v>
      </c>
      <c r="G545" s="19">
        <v>1500</v>
      </c>
      <c r="H545" s="19">
        <v>1500</v>
      </c>
      <c r="I545" s="19">
        <v>1500</v>
      </c>
      <c r="J545" s="19">
        <v>1500</v>
      </c>
      <c r="K545" s="19">
        <v>1500</v>
      </c>
      <c r="L545" s="19">
        <v>1500</v>
      </c>
      <c r="M545" s="20">
        <f>IF(G545&gt;0,J545/G545,0)</f>
      </c>
    </row>
    <row r="546" ht="14.4" customHeight="1">
      <c r="A546" s="15" t="str">
        <v/>
      </c>
      <c r="B546" s="16" t="str">
        <v>07 FONDO DE COMPENSACION MUNICIPAL</v>
      </c>
      <c r="C546" s="17" t="str">
        <v/>
      </c>
      <c r="D546" s="18">
        <v>250000</v>
      </c>
      <c r="E546" s="18">
        <v>-50000</v>
      </c>
      <c r="F546" s="18">
        <v>200000</v>
      </c>
      <c r="G546" s="19">
        <v>1500</v>
      </c>
      <c r="H546" s="19">
        <v>1500</v>
      </c>
      <c r="I546" s="19">
        <v>1500</v>
      </c>
      <c r="J546" s="19">
        <v>1500</v>
      </c>
      <c r="K546" s="19">
        <v>1500</v>
      </c>
      <c r="L546" s="19">
        <v>1500</v>
      </c>
      <c r="M546" s="20">
        <f>IF(G546&gt;0,J546/G546,0)</f>
      </c>
    </row>
    <row r="547" ht="14.4" customHeight="1">
      <c r="A547" s="21" t="str">
        <v/>
      </c>
      <c r="B547" s="22" t="str">
        <v>2.3.2.7.14.98     OTROS SERVICIOS TÉCNICOS Y PROFESIONALES DESARROLLADOS POR PERSONAS NATURALES</v>
      </c>
      <c r="C547" s="23" t="str">
        <v/>
      </c>
      <c r="D547" s="24">
        <v>250000</v>
      </c>
      <c r="E547" s="24">
        <v>-50000</v>
      </c>
      <c r="F547" s="24">
        <v>200000</v>
      </c>
      <c r="G547" s="25">
        <v>1500</v>
      </c>
      <c r="H547" s="25">
        <v>1500</v>
      </c>
      <c r="I547" s="25">
        <v>1500</v>
      </c>
      <c r="J547" s="25">
        <v>1500</v>
      </c>
      <c r="K547" s="25">
        <v>1500</v>
      </c>
      <c r="L547" s="25">
        <v>1500</v>
      </c>
      <c r="M547" s="26">
        <f>IF(G547&gt;0,J547/G547,0)</f>
      </c>
    </row>
    <row r="548" ht="14.4" customHeight="1">
      <c r="A548" s="15" t="str">
        <v>0061</v>
      </c>
      <c r="B548" s="16" t="str">
        <v>CONDUCCION Y MANEJO DE LOS REGISTROS CIVILES</v>
      </c>
      <c r="C548" s="17" t="str">
        <v/>
      </c>
      <c r="D548" s="18">
        <v>30000</v>
      </c>
      <c r="E548" s="18">
        <v>0</v>
      </c>
      <c r="F548" s="18">
        <v>30000</v>
      </c>
      <c r="G548" s="19">
        <v>6934.5</v>
      </c>
      <c r="H548" s="19">
        <v>6934.5</v>
      </c>
      <c r="I548" s="19">
        <v>6934.5</v>
      </c>
      <c r="J548" s="19">
        <v>6934.5</v>
      </c>
      <c r="K548" s="19">
        <v>6934.5</v>
      </c>
      <c r="L548" s="19">
        <v>6934.5</v>
      </c>
      <c r="M548" s="20">
        <f>IF(G548&gt;0,J548/G548,0)</f>
      </c>
    </row>
    <row r="549" ht="14.4" customHeight="1">
      <c r="A549" s="15" t="str">
        <v/>
      </c>
      <c r="B549" s="16" t="str">
        <v>07 FONDO DE COMPENSACION MUNICIPAL</v>
      </c>
      <c r="C549" s="17" t="str">
        <v/>
      </c>
      <c r="D549" s="18">
        <v>30000</v>
      </c>
      <c r="E549" s="18">
        <v>0</v>
      </c>
      <c r="F549" s="18">
        <v>30000</v>
      </c>
      <c r="G549" s="19">
        <v>6934.5</v>
      </c>
      <c r="H549" s="19">
        <v>6934.5</v>
      </c>
      <c r="I549" s="19">
        <v>6934.5</v>
      </c>
      <c r="J549" s="19">
        <v>6934.5</v>
      </c>
      <c r="K549" s="19">
        <v>6934.5</v>
      </c>
      <c r="L549" s="19">
        <v>6934.5</v>
      </c>
      <c r="M549" s="20">
        <f>IF(G549&gt;0,J549/G549,0)</f>
      </c>
    </row>
    <row r="550" ht="14.4" customHeight="1">
      <c r="A550" s="21" t="str">
        <v/>
      </c>
      <c r="B550" s="22" t="str">
        <v>2.3.1.1.1.1     ALIMENTOS Y BEBIDAS PARA CONSUMO HUMANO</v>
      </c>
      <c r="C550" s="23" t="str">
        <v/>
      </c>
      <c r="D550" s="24">
        <v>6000</v>
      </c>
      <c r="E550" s="24">
        <v>0</v>
      </c>
      <c r="F550" s="24">
        <v>6000</v>
      </c>
      <c r="G550" s="25">
        <v>5734.5</v>
      </c>
      <c r="H550" s="25">
        <v>5734.5</v>
      </c>
      <c r="I550" s="25">
        <v>5734.5</v>
      </c>
      <c r="J550" s="25">
        <v>5734.5</v>
      </c>
      <c r="K550" s="25">
        <v>5734.5</v>
      </c>
      <c r="L550" s="25">
        <v>5734.5</v>
      </c>
      <c r="M550" s="26">
        <f>IF(G550&gt;0,J550/G550,0)</f>
      </c>
    </row>
    <row r="551" ht="14.4" customHeight="1">
      <c r="A551" s="21" t="str">
        <v/>
      </c>
      <c r="B551" s="22" t="str">
        <v>2.3.1.5.1.2     PAPELERIA EN GENERAL, UTILES Y MATERIALES DE OFICINA</v>
      </c>
      <c r="C551" s="23" t="str">
        <v/>
      </c>
      <c r="D551" s="24">
        <v>1000</v>
      </c>
      <c r="E551" s="24">
        <v>0</v>
      </c>
      <c r="F551" s="24">
        <v>1000</v>
      </c>
      <c r="G551" s="25">
        <v>0</v>
      </c>
      <c r="H551" s="25">
        <v>0</v>
      </c>
      <c r="I551" s="25">
        <v>0</v>
      </c>
      <c r="J551" s="25">
        <v>0</v>
      </c>
      <c r="K551" s="25">
        <v>0</v>
      </c>
      <c r="L551" s="25">
        <v>0</v>
      </c>
      <c r="M551" s="26">
        <f>IF(G551&gt;0,J551/G551,0)</f>
      </c>
    </row>
    <row r="552" ht="14.4" customHeight="1">
      <c r="A552" s="21" t="str">
        <v/>
      </c>
      <c r="B552" s="22" t="str">
        <v>2.3.2.1.2.1     PASAJES Y GASTOS DE TRANSPORTE</v>
      </c>
      <c r="C552" s="23" t="str">
        <v/>
      </c>
      <c r="D552" s="24">
        <v>3000</v>
      </c>
      <c r="E552" s="24">
        <v>0</v>
      </c>
      <c r="F552" s="24">
        <v>3000</v>
      </c>
      <c r="G552" s="25">
        <v>0</v>
      </c>
      <c r="H552" s="25">
        <v>0</v>
      </c>
      <c r="I552" s="25">
        <v>0</v>
      </c>
      <c r="J552" s="25">
        <v>0</v>
      </c>
      <c r="K552" s="25">
        <v>0</v>
      </c>
      <c r="L552" s="25">
        <v>0</v>
      </c>
      <c r="M552" s="26">
        <f>IF(G552&gt;0,J552/G552,0)</f>
      </c>
    </row>
    <row r="553" ht="14.4" customHeight="1">
      <c r="A553" s="21" t="str">
        <v/>
      </c>
      <c r="B553" s="22" t="str">
        <v>2.3.2.1.2.2     VIATICOS Y ASIGNACIONES POR COMISION DE SERVICIO</v>
      </c>
      <c r="C553" s="23" t="str">
        <v/>
      </c>
      <c r="D553" s="24">
        <v>5000</v>
      </c>
      <c r="E553" s="24">
        <v>0</v>
      </c>
      <c r="F553" s="24">
        <v>5000</v>
      </c>
      <c r="G553" s="25">
        <v>0</v>
      </c>
      <c r="H553" s="25">
        <v>0</v>
      </c>
      <c r="I553" s="25">
        <v>0</v>
      </c>
      <c r="J553" s="25">
        <v>0</v>
      </c>
      <c r="K553" s="25">
        <v>0</v>
      </c>
      <c r="L553" s="25">
        <v>0</v>
      </c>
      <c r="M553" s="26">
        <f>IF(G553&gt;0,J553/G553,0)</f>
      </c>
    </row>
    <row r="554" ht="14.4" customHeight="1">
      <c r="A554" s="21" t="str">
        <v/>
      </c>
      <c r="B554" s="22" t="str">
        <v>2.3.2.5.1.4     DE MAQUINARIAS Y EQUIPOS</v>
      </c>
      <c r="C554" s="23" t="str">
        <v/>
      </c>
      <c r="D554" s="24">
        <v>5000</v>
      </c>
      <c r="E554" s="24">
        <v>0</v>
      </c>
      <c r="F554" s="24">
        <v>5000</v>
      </c>
      <c r="G554" s="25">
        <v>0</v>
      </c>
      <c r="H554" s="25">
        <v>0</v>
      </c>
      <c r="I554" s="25">
        <v>0</v>
      </c>
      <c r="J554" s="25">
        <v>0</v>
      </c>
      <c r="K554" s="25">
        <v>0</v>
      </c>
      <c r="L554" s="25">
        <v>0</v>
      </c>
      <c r="M554" s="26">
        <f>IF(G554&gt;0,J554/G554,0)</f>
      </c>
    </row>
    <row r="555" ht="14.4" customHeight="1">
      <c r="A555" s="21" t="str">
        <v/>
      </c>
      <c r="B555" s="22" t="str">
        <v>2.3.2.7.10.99     OTRAS ATENCIONES Y CELEBRACIONES</v>
      </c>
      <c r="C555" s="23" t="str">
        <v/>
      </c>
      <c r="D555" s="24">
        <v>5000</v>
      </c>
      <c r="E555" s="24">
        <v>0</v>
      </c>
      <c r="F555" s="24">
        <v>5000</v>
      </c>
      <c r="G555" s="25">
        <v>0</v>
      </c>
      <c r="H555" s="25">
        <v>0</v>
      </c>
      <c r="I555" s="25">
        <v>0</v>
      </c>
      <c r="J555" s="25">
        <v>0</v>
      </c>
      <c r="K555" s="25">
        <v>0</v>
      </c>
      <c r="L555" s="25">
        <v>0</v>
      </c>
      <c r="M555" s="26">
        <f>IF(G555&gt;0,J555/G555,0)</f>
      </c>
    </row>
    <row r="556" ht="14.4" customHeight="1">
      <c r="A556" s="21" t="str">
        <v/>
      </c>
      <c r="B556" s="22" t="str">
        <v>2.3.2.7.11.5     SERVICIOS DE ALIMENTACION DE CONSUMO HUMANO</v>
      </c>
      <c r="C556" s="23" t="str">
        <v/>
      </c>
      <c r="D556" s="24">
        <v>5000</v>
      </c>
      <c r="E556" s="24">
        <v>0</v>
      </c>
      <c r="F556" s="24">
        <v>5000</v>
      </c>
      <c r="G556" s="25">
        <v>1200</v>
      </c>
      <c r="H556" s="25">
        <v>1200</v>
      </c>
      <c r="I556" s="25">
        <v>1200</v>
      </c>
      <c r="J556" s="25">
        <v>1200</v>
      </c>
      <c r="K556" s="25">
        <v>1200</v>
      </c>
      <c r="L556" s="25">
        <v>1200</v>
      </c>
      <c r="M556" s="26">
        <f>IF(G556&gt;0,J556/G556,0)</f>
      </c>
    </row>
    <row r="557" ht="14.4" customHeight="1">
      <c r="A557" s="15" t="str">
        <v>0062</v>
      </c>
      <c r="B557" s="16" t="str">
        <v>CONTROL SANITARIO</v>
      </c>
      <c r="C557" s="17" t="str">
        <v/>
      </c>
      <c r="D557" s="18">
        <v>30000</v>
      </c>
      <c r="E557" s="18">
        <v>0</v>
      </c>
      <c r="F557" s="18">
        <v>30000</v>
      </c>
      <c r="G557" s="19">
        <v>0</v>
      </c>
      <c r="H557" s="19">
        <v>0</v>
      </c>
      <c r="I557" s="19">
        <v>0</v>
      </c>
      <c r="J557" s="19">
        <v>0</v>
      </c>
      <c r="K557" s="19">
        <v>0</v>
      </c>
      <c r="L557" s="19">
        <v>0</v>
      </c>
      <c r="M557" s="20">
        <f>IF(G557&gt;0,J557/G557,0)</f>
      </c>
    </row>
    <row r="558" ht="14.4" customHeight="1">
      <c r="A558" s="15" t="str">
        <v/>
      </c>
      <c r="B558" s="16" t="str">
        <v>07 FONDO DE COMPENSACION MUNICIPAL</v>
      </c>
      <c r="C558" s="17" t="str">
        <v/>
      </c>
      <c r="D558" s="18">
        <v>30000</v>
      </c>
      <c r="E558" s="18">
        <v>0</v>
      </c>
      <c r="F558" s="18">
        <v>30000</v>
      </c>
      <c r="G558" s="19">
        <v>0</v>
      </c>
      <c r="H558" s="19">
        <v>0</v>
      </c>
      <c r="I558" s="19">
        <v>0</v>
      </c>
      <c r="J558" s="19">
        <v>0</v>
      </c>
      <c r="K558" s="19">
        <v>0</v>
      </c>
      <c r="L558" s="19">
        <v>0</v>
      </c>
      <c r="M558" s="20">
        <f>IF(G558&gt;0,J558/G558,0)</f>
      </c>
    </row>
    <row r="559" ht="14.4" customHeight="1">
      <c r="A559" s="21" t="str">
        <v/>
      </c>
      <c r="B559" s="22" t="str">
        <v>2.3.1.5.3.1     ASEO, LIMPIEZA Y TOCADOR</v>
      </c>
      <c r="C559" s="23" t="str">
        <v/>
      </c>
      <c r="D559" s="24">
        <v>15000</v>
      </c>
      <c r="E559" s="24">
        <v>0</v>
      </c>
      <c r="F559" s="24">
        <v>15000</v>
      </c>
      <c r="G559" s="25">
        <v>0</v>
      </c>
      <c r="H559" s="25">
        <v>0</v>
      </c>
      <c r="I559" s="25">
        <v>0</v>
      </c>
      <c r="J559" s="25">
        <v>0</v>
      </c>
      <c r="K559" s="25">
        <v>0</v>
      </c>
      <c r="L559" s="25">
        <v>0</v>
      </c>
      <c r="M559" s="26">
        <f>IF(G559&gt;0,J559/G559,0)</f>
      </c>
    </row>
    <row r="560" ht="14.4" customHeight="1">
      <c r="A560" s="21" t="str">
        <v/>
      </c>
      <c r="B560" s="22" t="str">
        <v>2.3.1.5.4.1     ELECTRICIDAD, ILUMINACION Y ELECTRONICA</v>
      </c>
      <c r="C560" s="23" t="str">
        <v/>
      </c>
      <c r="D560" s="24">
        <v>2000</v>
      </c>
      <c r="E560" s="24">
        <v>0</v>
      </c>
      <c r="F560" s="24">
        <v>2000</v>
      </c>
      <c r="G560" s="25">
        <v>0</v>
      </c>
      <c r="H560" s="25">
        <v>0</v>
      </c>
      <c r="I560" s="25">
        <v>0</v>
      </c>
      <c r="J560" s="25">
        <v>0</v>
      </c>
      <c r="K560" s="25">
        <v>0</v>
      </c>
      <c r="L560" s="25">
        <v>0</v>
      </c>
      <c r="M560" s="26">
        <f>IF(G560&gt;0,J560/G560,0)</f>
      </c>
    </row>
    <row r="561" ht="14.4" customHeight="1">
      <c r="A561" s="21" t="str">
        <v/>
      </c>
      <c r="B561" s="22" t="str">
        <v>2.3.1.99.1.99     OTROS BIENES</v>
      </c>
      <c r="C561" s="23" t="str">
        <v/>
      </c>
      <c r="D561" s="24">
        <v>3000</v>
      </c>
      <c r="E561" s="24">
        <v>0</v>
      </c>
      <c r="F561" s="24">
        <v>3000</v>
      </c>
      <c r="G561" s="25">
        <v>0</v>
      </c>
      <c r="H561" s="25">
        <v>0</v>
      </c>
      <c r="I561" s="25">
        <v>0</v>
      </c>
      <c r="J561" s="25">
        <v>0</v>
      </c>
      <c r="K561" s="25">
        <v>0</v>
      </c>
      <c r="L561" s="25">
        <v>0</v>
      </c>
      <c r="M561" s="26">
        <f>IF(G561&gt;0,J561/G561,0)</f>
      </c>
    </row>
    <row r="562" ht="14.4" customHeight="1">
      <c r="A562" s="21" t="str">
        <v/>
      </c>
      <c r="B562" s="22" t="str">
        <v>2.3.2.7.11.99     SERVICIOS DIVERSOS</v>
      </c>
      <c r="C562" s="23" t="str">
        <v/>
      </c>
      <c r="D562" s="24">
        <v>10000</v>
      </c>
      <c r="E562" s="24">
        <v>0</v>
      </c>
      <c r="F562" s="24">
        <v>10000</v>
      </c>
      <c r="G562" s="25">
        <v>0</v>
      </c>
      <c r="H562" s="25">
        <v>0</v>
      </c>
      <c r="I562" s="25">
        <v>0</v>
      </c>
      <c r="J562" s="25">
        <v>0</v>
      </c>
      <c r="K562" s="25">
        <v>0</v>
      </c>
      <c r="L562" s="25">
        <v>0</v>
      </c>
      <c r="M562" s="26">
        <f>IF(G562&gt;0,J562/G562,0)</f>
      </c>
    </row>
    <row r="563" ht="14.4" customHeight="1">
      <c r="A563" s="15" t="str">
        <v>0063</v>
      </c>
      <c r="B563" s="16" t="str">
        <v>DEFENSORIA MUNICIPAL DEL NIÑO Y DEL ADOLECENTE ( DEMUNA)</v>
      </c>
      <c r="C563" s="17" t="str">
        <v/>
      </c>
      <c r="D563" s="18">
        <v>46000</v>
      </c>
      <c r="E563" s="18">
        <v>0</v>
      </c>
      <c r="F563" s="18">
        <v>46000</v>
      </c>
      <c r="G563" s="19">
        <v>890</v>
      </c>
      <c r="H563" s="19">
        <v>890</v>
      </c>
      <c r="I563" s="19">
        <v>890</v>
      </c>
      <c r="J563" s="19">
        <v>890</v>
      </c>
      <c r="K563" s="19">
        <v>890</v>
      </c>
      <c r="L563" s="19">
        <v>890</v>
      </c>
      <c r="M563" s="20">
        <f>IF(G563&gt;0,J563/G563,0)</f>
      </c>
    </row>
    <row r="564" ht="14.4" customHeight="1">
      <c r="A564" s="15" t="str">
        <v/>
      </c>
      <c r="B564" s="16" t="str">
        <v>07 FONDO DE COMPENSACION MUNICIPAL</v>
      </c>
      <c r="C564" s="17" t="str">
        <v/>
      </c>
      <c r="D564" s="18">
        <v>46000</v>
      </c>
      <c r="E564" s="18">
        <v>0</v>
      </c>
      <c r="F564" s="18">
        <v>46000</v>
      </c>
      <c r="G564" s="19">
        <v>890</v>
      </c>
      <c r="H564" s="19">
        <v>890</v>
      </c>
      <c r="I564" s="19">
        <v>890</v>
      </c>
      <c r="J564" s="19">
        <v>890</v>
      </c>
      <c r="K564" s="19">
        <v>890</v>
      </c>
      <c r="L564" s="19">
        <v>890</v>
      </c>
      <c r="M564" s="20">
        <f>IF(G564&gt;0,J564/G564,0)</f>
      </c>
    </row>
    <row r="565" ht="14.4" customHeight="1">
      <c r="A565" s="21" t="str">
        <v/>
      </c>
      <c r="B565" s="22" t="str">
        <v>2.3.1.2.1.1     VESTUARIO, ACCESORIOS Y PRENDAS DIVERSAS</v>
      </c>
      <c r="C565" s="23" t="str">
        <v/>
      </c>
      <c r="D565" s="24">
        <v>2750</v>
      </c>
      <c r="E565" s="24">
        <v>0</v>
      </c>
      <c r="F565" s="24">
        <v>2750</v>
      </c>
      <c r="G565" s="25">
        <v>0</v>
      </c>
      <c r="H565" s="25">
        <v>0</v>
      </c>
      <c r="I565" s="25">
        <v>0</v>
      </c>
      <c r="J565" s="25">
        <v>0</v>
      </c>
      <c r="K565" s="25">
        <v>0</v>
      </c>
      <c r="L565" s="25">
        <v>0</v>
      </c>
      <c r="M565" s="26">
        <f>IF(G565&gt;0,J565/G565,0)</f>
      </c>
    </row>
    <row r="566" ht="14.4" customHeight="1">
      <c r="A566" s="21" t="str">
        <v/>
      </c>
      <c r="B566" s="22" t="str">
        <v>2.3.1.5.1.2     PAPELERIA EN GENERAL, UTILES Y MATERIALES DE OFICINA</v>
      </c>
      <c r="C566" s="23" t="str">
        <v/>
      </c>
      <c r="D566" s="24">
        <v>3000</v>
      </c>
      <c r="E566" s="24">
        <v>0</v>
      </c>
      <c r="F566" s="24">
        <v>3000</v>
      </c>
      <c r="G566" s="25">
        <v>0</v>
      </c>
      <c r="H566" s="25">
        <v>0</v>
      </c>
      <c r="I566" s="25">
        <v>0</v>
      </c>
      <c r="J566" s="25">
        <v>0</v>
      </c>
      <c r="K566" s="25">
        <v>0</v>
      </c>
      <c r="L566" s="25">
        <v>0</v>
      </c>
      <c r="M566" s="26">
        <f>IF(G566&gt;0,J566/G566,0)</f>
      </c>
    </row>
    <row r="567" ht="14.4" customHeight="1">
      <c r="A567" s="21" t="str">
        <v/>
      </c>
      <c r="B567" s="22" t="str">
        <v>2.3.1.99.1.99     OTROS BIENES</v>
      </c>
      <c r="C567" s="23" t="str">
        <v/>
      </c>
      <c r="D567" s="24">
        <v>1500</v>
      </c>
      <c r="E567" s="24">
        <v>0</v>
      </c>
      <c r="F567" s="24">
        <v>1500</v>
      </c>
      <c r="G567" s="25">
        <v>0</v>
      </c>
      <c r="H567" s="25">
        <v>0</v>
      </c>
      <c r="I567" s="25">
        <v>0</v>
      </c>
      <c r="J567" s="25">
        <v>0</v>
      </c>
      <c r="K567" s="25">
        <v>0</v>
      </c>
      <c r="L567" s="25">
        <v>0</v>
      </c>
      <c r="M567" s="26">
        <f>IF(G567&gt;0,J567/G567,0)</f>
      </c>
    </row>
    <row r="568" ht="14.4" customHeight="1">
      <c r="A568" s="21" t="str">
        <v/>
      </c>
      <c r="B568" s="22" t="str">
        <v>2.3.2.1.2.1     PASAJES Y GASTOS DE TRANSPORTE</v>
      </c>
      <c r="C568" s="23" t="str">
        <v/>
      </c>
      <c r="D568" s="24">
        <v>2000</v>
      </c>
      <c r="E568" s="24">
        <v>0</v>
      </c>
      <c r="F568" s="24">
        <v>2000</v>
      </c>
      <c r="G568" s="25">
        <v>140</v>
      </c>
      <c r="H568" s="25">
        <v>140</v>
      </c>
      <c r="I568" s="25">
        <v>140</v>
      </c>
      <c r="J568" s="25">
        <v>140</v>
      </c>
      <c r="K568" s="25">
        <v>140</v>
      </c>
      <c r="L568" s="25">
        <v>140</v>
      </c>
      <c r="M568" s="26">
        <f>IF(G568&gt;0,J568/G568,0)</f>
      </c>
    </row>
    <row r="569" ht="14.4" customHeight="1">
      <c r="A569" s="21" t="str">
        <v/>
      </c>
      <c r="B569" s="22" t="str">
        <v>2.3.2.7.11.6     SERVICIO DE IMPRESIONES, ENCUADERNACION Y EMPASTADO</v>
      </c>
      <c r="C569" s="23" t="str">
        <v/>
      </c>
      <c r="D569" s="24">
        <v>750</v>
      </c>
      <c r="E569" s="24">
        <v>0</v>
      </c>
      <c r="F569" s="24">
        <v>750</v>
      </c>
      <c r="G569" s="25">
        <v>750</v>
      </c>
      <c r="H569" s="25">
        <v>750</v>
      </c>
      <c r="I569" s="25">
        <v>750</v>
      </c>
      <c r="J569" s="25">
        <v>750</v>
      </c>
      <c r="K569" s="25">
        <v>750</v>
      </c>
      <c r="L569" s="25">
        <v>750</v>
      </c>
      <c r="M569" s="26">
        <f>IF(G569&gt;0,J569/G569,0)</f>
      </c>
    </row>
    <row r="570" ht="14.4" customHeight="1">
      <c r="A570" s="21" t="str">
        <v/>
      </c>
      <c r="B570" s="22" t="str">
        <v>2.3.2.9.1.1     LOCACIÓN DE SERVICIOS REALIZADOS POR PERSONA NATURAL</v>
      </c>
      <c r="C570" s="23" t="str">
        <v/>
      </c>
      <c r="D570" s="24">
        <v>36000</v>
      </c>
      <c r="E570" s="24">
        <v>0</v>
      </c>
      <c r="F570" s="24">
        <v>36000</v>
      </c>
      <c r="G570" s="25">
        <v>0</v>
      </c>
      <c r="H570" s="25">
        <v>0</v>
      </c>
      <c r="I570" s="25">
        <v>0</v>
      </c>
      <c r="J570" s="25">
        <v>0</v>
      </c>
      <c r="K570" s="25">
        <v>0</v>
      </c>
      <c r="L570" s="25">
        <v>0</v>
      </c>
      <c r="M570" s="26">
        <f>IF(G570&gt;0,J570/G570,0)</f>
      </c>
    </row>
    <row r="571" ht="14.4" customHeight="1">
      <c r="A571" s="15" t="str">
        <v>0064</v>
      </c>
      <c r="B571" s="16" t="str">
        <v>FOMENTAR EL DEPORTE FUNDAMENTAL</v>
      </c>
      <c r="C571" s="17" t="str">
        <v/>
      </c>
      <c r="D571" s="18">
        <v>25000</v>
      </c>
      <c r="E571" s="18">
        <v>0</v>
      </c>
      <c r="F571" s="18">
        <v>25000</v>
      </c>
      <c r="G571" s="19">
        <v>0</v>
      </c>
      <c r="H571" s="19">
        <v>0</v>
      </c>
      <c r="I571" s="19">
        <v>0</v>
      </c>
      <c r="J571" s="19">
        <v>0</v>
      </c>
      <c r="K571" s="19">
        <v>0</v>
      </c>
      <c r="L571" s="19">
        <v>0</v>
      </c>
      <c r="M571" s="20">
        <f>IF(G571&gt;0,J571/G571,0)</f>
      </c>
    </row>
    <row r="572" ht="14.4" customHeight="1">
      <c r="A572" s="15" t="str">
        <v/>
      </c>
      <c r="B572" s="16" t="str">
        <v>07 FONDO DE COMPENSACION MUNICIPAL</v>
      </c>
      <c r="C572" s="17" t="str">
        <v/>
      </c>
      <c r="D572" s="18">
        <v>25000</v>
      </c>
      <c r="E572" s="18">
        <v>0</v>
      </c>
      <c r="F572" s="18">
        <v>25000</v>
      </c>
      <c r="G572" s="19">
        <v>0</v>
      </c>
      <c r="H572" s="19">
        <v>0</v>
      </c>
      <c r="I572" s="19">
        <v>0</v>
      </c>
      <c r="J572" s="19">
        <v>0</v>
      </c>
      <c r="K572" s="19">
        <v>0</v>
      </c>
      <c r="L572" s="19">
        <v>0</v>
      </c>
      <c r="M572" s="20">
        <f>IF(G572&gt;0,J572/G572,0)</f>
      </c>
    </row>
    <row r="573" ht="14.4" customHeight="1">
      <c r="A573" s="21" t="str">
        <v/>
      </c>
      <c r="B573" s="22" t="str">
        <v>2.3.1.2.1.1     VESTUARIO, ACCESORIOS Y PRENDAS DIVERSAS</v>
      </c>
      <c r="C573" s="23" t="str">
        <v/>
      </c>
      <c r="D573" s="24">
        <v>25000</v>
      </c>
      <c r="E573" s="24">
        <v>0</v>
      </c>
      <c r="F573" s="24">
        <v>25000</v>
      </c>
      <c r="G573" s="25">
        <v>0</v>
      </c>
      <c r="H573" s="25">
        <v>0</v>
      </c>
      <c r="I573" s="25">
        <v>0</v>
      </c>
      <c r="J573" s="25">
        <v>0</v>
      </c>
      <c r="K573" s="25">
        <v>0</v>
      </c>
      <c r="L573" s="25">
        <v>0</v>
      </c>
      <c r="M573" s="26">
        <f>IF(G573&gt;0,J573/G573,0)</f>
      </c>
    </row>
    <row r="574" ht="14.4" customHeight="1">
      <c r="A574" s="15" t="str">
        <v>0065</v>
      </c>
      <c r="B574" s="16" t="str">
        <v>FORTALECIMIENTO DE SECTOR EDUCACION</v>
      </c>
      <c r="C574" s="17" t="str">
        <v/>
      </c>
      <c r="D574" s="18">
        <v>420000</v>
      </c>
      <c r="E574" s="18">
        <v>-255500</v>
      </c>
      <c r="F574" s="18">
        <v>164500</v>
      </c>
      <c r="G574" s="19">
        <v>44128</v>
      </c>
      <c r="H574" s="19">
        <v>42128</v>
      </c>
      <c r="I574" s="19">
        <v>58348</v>
      </c>
      <c r="J574" s="19">
        <v>46258</v>
      </c>
      <c r="K574" s="19">
        <v>45128</v>
      </c>
      <c r="L574" s="19">
        <v>45128</v>
      </c>
      <c r="M574" s="20">
        <f>IF(G574&gt;0,J574/G574,0)</f>
      </c>
    </row>
    <row r="575" ht="14.4" customHeight="1">
      <c r="A575" s="15" t="str">
        <v/>
      </c>
      <c r="B575" s="16" t="str">
        <v>07 FONDO DE COMPENSACION MUNICIPAL</v>
      </c>
      <c r="C575" s="17" t="str">
        <v/>
      </c>
      <c r="D575" s="18">
        <v>420000</v>
      </c>
      <c r="E575" s="18">
        <v>-255500</v>
      </c>
      <c r="F575" s="18">
        <v>164500</v>
      </c>
      <c r="G575" s="19">
        <v>44128</v>
      </c>
      <c r="H575" s="19">
        <v>42128</v>
      </c>
      <c r="I575" s="19">
        <v>58348</v>
      </c>
      <c r="J575" s="19">
        <v>46258</v>
      </c>
      <c r="K575" s="19">
        <v>45128</v>
      </c>
      <c r="L575" s="19">
        <v>45128</v>
      </c>
      <c r="M575" s="20">
        <f>IF(G575&gt;0,J575/G575,0)</f>
      </c>
    </row>
    <row r="576" ht="14.4" customHeight="1">
      <c r="A576" s="21" t="str">
        <v/>
      </c>
      <c r="B576" s="22" t="str">
        <v>2.3.1.1.1.1     ALIMENTOS Y BEBIDAS PARA CONSUMO HUMANO</v>
      </c>
      <c r="C576" s="23" t="str">
        <v/>
      </c>
      <c r="D576" s="24">
        <v>1428</v>
      </c>
      <c r="E576" s="24">
        <v>300</v>
      </c>
      <c r="F576" s="24">
        <v>1728</v>
      </c>
      <c r="G576" s="25">
        <v>1428</v>
      </c>
      <c r="H576" s="25">
        <v>1428</v>
      </c>
      <c r="I576" s="25">
        <v>1428</v>
      </c>
      <c r="J576" s="25">
        <v>1428</v>
      </c>
      <c r="K576" s="25">
        <v>1428</v>
      </c>
      <c r="L576" s="25">
        <v>1428</v>
      </c>
      <c r="M576" s="26">
        <f>IF(G576&gt;0,J576/G576,0)</f>
      </c>
    </row>
    <row r="577" ht="14.4" customHeight="1">
      <c r="A577" s="21" t="str">
        <v/>
      </c>
      <c r="B577" s="22" t="str">
        <v>2.3.1.2.1.1     VESTUARIO, ACCESORIOS Y PRENDAS DIVERSAS</v>
      </c>
      <c r="C577" s="23" t="str">
        <v/>
      </c>
      <c r="D577" s="24">
        <v>7712</v>
      </c>
      <c r="E577" s="24">
        <v>0</v>
      </c>
      <c r="F577" s="24">
        <v>7712</v>
      </c>
      <c r="G577" s="25">
        <v>0</v>
      </c>
      <c r="H577" s="25">
        <v>0</v>
      </c>
      <c r="I577" s="25">
        <v>0</v>
      </c>
      <c r="J577" s="25">
        <v>0</v>
      </c>
      <c r="K577" s="25">
        <v>0</v>
      </c>
      <c r="L577" s="25">
        <v>0</v>
      </c>
      <c r="M577" s="26">
        <f>IF(G577&gt;0,J577/G577,0)</f>
      </c>
    </row>
    <row r="578" ht="14.4" customHeight="1">
      <c r="A578" s="21" t="str">
        <v/>
      </c>
      <c r="B578" s="22" t="str">
        <v>2.3.1.5.1.2     PAPELERIA EN GENERAL, UTILES Y MATERIALES DE OFICINA</v>
      </c>
      <c r="C578" s="23" t="str">
        <v/>
      </c>
      <c r="D578" s="24">
        <v>0</v>
      </c>
      <c r="E578" s="24">
        <v>5000</v>
      </c>
      <c r="F578" s="24">
        <v>5000</v>
      </c>
      <c r="G578" s="25">
        <v>0</v>
      </c>
      <c r="H578" s="25">
        <v>0</v>
      </c>
      <c r="I578" s="25">
        <v>0</v>
      </c>
      <c r="J578" s="25">
        <v>0</v>
      </c>
      <c r="K578" s="25">
        <v>0</v>
      </c>
      <c r="L578" s="25">
        <v>0</v>
      </c>
      <c r="M578" s="26">
        <f>IF(G578&gt;0,J578/G578,0)</f>
      </c>
    </row>
    <row r="579" ht="14.4" customHeight="1">
      <c r="A579" s="21" t="str">
        <v/>
      </c>
      <c r="B579" s="22" t="str">
        <v>2.3.1.5.2.1     AGROPECUARIO, GANADERO Y DE JARDINERIA</v>
      </c>
      <c r="C579" s="23" t="str">
        <v/>
      </c>
      <c r="D579" s="24">
        <v>2000</v>
      </c>
      <c r="E579" s="24">
        <v>0</v>
      </c>
      <c r="F579" s="24">
        <v>2000</v>
      </c>
      <c r="G579" s="25">
        <v>0</v>
      </c>
      <c r="H579" s="25">
        <v>0</v>
      </c>
      <c r="I579" s="25">
        <v>0</v>
      </c>
      <c r="J579" s="25">
        <v>0</v>
      </c>
      <c r="K579" s="25">
        <v>0</v>
      </c>
      <c r="L579" s="25">
        <v>0</v>
      </c>
      <c r="M579" s="26">
        <f>IF(G579&gt;0,J579/G579,0)</f>
      </c>
    </row>
    <row r="580" ht="14.4" customHeight="1">
      <c r="A580" s="21" t="str">
        <v/>
      </c>
      <c r="B580" s="22" t="str">
        <v>2.3.1.5.3.1     ASEO, LIMPIEZA Y TOCADOR</v>
      </c>
      <c r="C580" s="23" t="str">
        <v/>
      </c>
      <c r="D580" s="24">
        <v>100</v>
      </c>
      <c r="E580" s="24">
        <v>1200</v>
      </c>
      <c r="F580" s="24">
        <v>1300</v>
      </c>
      <c r="G580" s="25">
        <v>0</v>
      </c>
      <c r="H580" s="25">
        <v>0</v>
      </c>
      <c r="I580" s="25">
        <v>0</v>
      </c>
      <c r="J580" s="25">
        <v>0</v>
      </c>
      <c r="K580" s="25">
        <v>0</v>
      </c>
      <c r="L580" s="25">
        <v>0</v>
      </c>
      <c r="M580" s="26">
        <f>IF(G580&gt;0,J580/G580,0)</f>
      </c>
    </row>
    <row r="581" ht="14.4" customHeight="1">
      <c r="A581" s="21" t="str">
        <v/>
      </c>
      <c r="B581" s="22" t="str">
        <v>2.3.1.9.1.2     MATERIAL DIDACTICO, ACCESORIOS Y UTILES DE ENSEÑANZA</v>
      </c>
      <c r="C581" s="23" t="str">
        <v/>
      </c>
      <c r="D581" s="24">
        <v>840</v>
      </c>
      <c r="E581" s="24">
        <v>0</v>
      </c>
      <c r="F581" s="24">
        <v>840</v>
      </c>
      <c r="G581" s="25">
        <v>0</v>
      </c>
      <c r="H581" s="25">
        <v>0</v>
      </c>
      <c r="I581" s="25">
        <v>60</v>
      </c>
      <c r="J581" s="25">
        <v>0</v>
      </c>
      <c r="K581" s="25">
        <v>0</v>
      </c>
      <c r="L581" s="25">
        <v>0</v>
      </c>
      <c r="M581" s="26">
        <f>IF(G581&gt;0,J581/G581,0)</f>
      </c>
    </row>
    <row r="582" ht="14.4" customHeight="1">
      <c r="A582" s="21" t="str">
        <v/>
      </c>
      <c r="B582" s="22" t="str">
        <v>2.3.1.9.1.99     OTROS MATERIALES DIVERSOS DE ENSEÑANZA</v>
      </c>
      <c r="C582" s="23" t="str">
        <v/>
      </c>
      <c r="D582" s="24">
        <v>980</v>
      </c>
      <c r="E582" s="24">
        <v>0</v>
      </c>
      <c r="F582" s="24">
        <v>980</v>
      </c>
      <c r="G582" s="25">
        <v>0</v>
      </c>
      <c r="H582" s="25">
        <v>0</v>
      </c>
      <c r="I582" s="25">
        <v>0</v>
      </c>
      <c r="J582" s="25">
        <v>0</v>
      </c>
      <c r="K582" s="25">
        <v>0</v>
      </c>
      <c r="L582" s="25">
        <v>0</v>
      </c>
      <c r="M582" s="26">
        <f>IF(G582&gt;0,J582/G582,0)</f>
      </c>
    </row>
    <row r="583" ht="14.4" customHeight="1">
      <c r="A583" s="21" t="str">
        <v/>
      </c>
      <c r="B583" s="22" t="str">
        <v>2.3.1.99.1.4     SIMBOLOS, DISTINTIVOS Y CONDECORACIONES</v>
      </c>
      <c r="C583" s="23" t="str">
        <v/>
      </c>
      <c r="D583" s="24">
        <v>960</v>
      </c>
      <c r="E583" s="24">
        <v>0</v>
      </c>
      <c r="F583" s="24">
        <v>960</v>
      </c>
      <c r="G583" s="25">
        <v>0</v>
      </c>
      <c r="H583" s="25">
        <v>0</v>
      </c>
      <c r="I583" s="25">
        <v>0</v>
      </c>
      <c r="J583" s="25">
        <v>0</v>
      </c>
      <c r="K583" s="25">
        <v>0</v>
      </c>
      <c r="L583" s="25">
        <v>0</v>
      </c>
      <c r="M583" s="26">
        <f>IF(G583&gt;0,J583/G583,0)</f>
      </c>
    </row>
    <row r="584" ht="14.4" customHeight="1">
      <c r="A584" s="21" t="str">
        <v/>
      </c>
      <c r="B584" s="22" t="str">
        <v>2.3.1.99.1.99     OTROS BIENES</v>
      </c>
      <c r="C584" s="23" t="str">
        <v/>
      </c>
      <c r="D584" s="24">
        <v>0</v>
      </c>
      <c r="E584" s="24">
        <v>2500</v>
      </c>
      <c r="F584" s="24">
        <v>2500</v>
      </c>
      <c r="G584" s="25">
        <v>0</v>
      </c>
      <c r="H584" s="25">
        <v>0</v>
      </c>
      <c r="I584" s="25">
        <v>2100</v>
      </c>
      <c r="J584" s="25">
        <v>0</v>
      </c>
      <c r="K584" s="25">
        <v>0</v>
      </c>
      <c r="L584" s="25">
        <v>0</v>
      </c>
      <c r="M584" s="26">
        <f>IF(G584&gt;0,J584/G584,0)</f>
      </c>
    </row>
    <row r="585" ht="14.4" customHeight="1">
      <c r="A585" s="21" t="str">
        <v/>
      </c>
      <c r="B585" s="22" t="str">
        <v>2.3.2.5.1.1     DE EDIFICIOS Y ESTRUCTURAS</v>
      </c>
      <c r="C585" s="23" t="str">
        <v/>
      </c>
      <c r="D585" s="24">
        <v>6500</v>
      </c>
      <c r="E585" s="24">
        <v>0</v>
      </c>
      <c r="F585" s="24">
        <v>6500</v>
      </c>
      <c r="G585" s="25">
        <v>0</v>
      </c>
      <c r="H585" s="25">
        <v>0</v>
      </c>
      <c r="I585" s="25">
        <v>0</v>
      </c>
      <c r="J585" s="25">
        <v>0</v>
      </c>
      <c r="K585" s="25">
        <v>0</v>
      </c>
      <c r="L585" s="25">
        <v>0</v>
      </c>
      <c r="M585" s="26">
        <f>IF(G585&gt;0,J585/G585,0)</f>
      </c>
    </row>
    <row r="586" ht="14.4" customHeight="1">
      <c r="A586" s="21" t="str">
        <v/>
      </c>
      <c r="B586" s="22" t="str">
        <v>2.3.2.5.1.4     DE MAQUINARIAS Y EQUIPOS</v>
      </c>
      <c r="C586" s="23" t="str">
        <v/>
      </c>
      <c r="D586" s="24">
        <v>2000</v>
      </c>
      <c r="E586" s="24">
        <v>0</v>
      </c>
      <c r="F586" s="24">
        <v>2000</v>
      </c>
      <c r="G586" s="25">
        <v>0</v>
      </c>
      <c r="H586" s="25">
        <v>0</v>
      </c>
      <c r="I586" s="25">
        <v>0</v>
      </c>
      <c r="J586" s="25">
        <v>0</v>
      </c>
      <c r="K586" s="25">
        <v>0</v>
      </c>
      <c r="L586" s="25">
        <v>0</v>
      </c>
      <c r="M586" s="26">
        <f>IF(G586&gt;0,J586/G586,0)</f>
      </c>
    </row>
    <row r="587" ht="14.4" customHeight="1">
      <c r="A587" s="21" t="str">
        <v/>
      </c>
      <c r="B587" s="22" t="str">
        <v>2.3.2.7.11.5     SERVICIOS DE ALIMENTACION DE CONSUMO HUMANO</v>
      </c>
      <c r="C587" s="23" t="str">
        <v/>
      </c>
      <c r="D587" s="24">
        <v>0</v>
      </c>
      <c r="E587" s="24">
        <v>5000</v>
      </c>
      <c r="F587" s="24">
        <v>5000</v>
      </c>
      <c r="G587" s="25">
        <v>0</v>
      </c>
      <c r="H587" s="25">
        <v>0</v>
      </c>
      <c r="I587" s="25">
        <v>2000</v>
      </c>
      <c r="J587" s="25">
        <v>0</v>
      </c>
      <c r="K587" s="25">
        <v>0</v>
      </c>
      <c r="L587" s="25">
        <v>0</v>
      </c>
      <c r="M587" s="26">
        <f>IF(G587&gt;0,J587/G587,0)</f>
      </c>
    </row>
    <row r="588" ht="14.4" customHeight="1">
      <c r="A588" s="21" t="str">
        <v/>
      </c>
      <c r="B588" s="22" t="str">
        <v>2.3.2.7.11.6     SERVICIO DE IMPRESIONES, ENCUADERNACION Y EMPASTADO</v>
      </c>
      <c r="C588" s="23" t="str">
        <v/>
      </c>
      <c r="D588" s="24">
        <v>700</v>
      </c>
      <c r="E588" s="24">
        <v>0</v>
      </c>
      <c r="F588" s="24">
        <v>700</v>
      </c>
      <c r="G588" s="25">
        <v>700</v>
      </c>
      <c r="H588" s="25">
        <v>700</v>
      </c>
      <c r="I588" s="25">
        <v>700</v>
      </c>
      <c r="J588" s="25">
        <v>700</v>
      </c>
      <c r="K588" s="25">
        <v>700</v>
      </c>
      <c r="L588" s="25">
        <v>700</v>
      </c>
      <c r="M588" s="26">
        <f>IF(G588&gt;0,J588/G588,0)</f>
      </c>
    </row>
    <row r="589" ht="14.4" customHeight="1">
      <c r="A589" s="21" t="str">
        <v/>
      </c>
      <c r="B589" s="22" t="str">
        <v>2.3.2.7.14.98     OTROS SERVICIOS TÉCNICOS Y PROFESIONALES DESARROLLADOS POR PERSONAS NATURALES</v>
      </c>
      <c r="C589" s="23" t="str">
        <v/>
      </c>
      <c r="D589" s="24">
        <v>389780</v>
      </c>
      <c r="E589" s="24">
        <v>-278100</v>
      </c>
      <c r="F589" s="24">
        <v>111680</v>
      </c>
      <c r="G589" s="25">
        <v>42000</v>
      </c>
      <c r="H589" s="25">
        <v>40000</v>
      </c>
      <c r="I589" s="25">
        <v>45260</v>
      </c>
      <c r="J589" s="25">
        <v>44130</v>
      </c>
      <c r="K589" s="25">
        <v>43000</v>
      </c>
      <c r="L589" s="25">
        <v>43000</v>
      </c>
      <c r="M589" s="26">
        <f>IF(G589&gt;0,J589/G589,0)</f>
      </c>
    </row>
    <row r="590" ht="14.4" customHeight="1">
      <c r="A590" s="21" t="str">
        <v/>
      </c>
      <c r="B590" s="22" t="str">
        <v>2.3.2.9.1.1     LOCACIÓN DE SERVICIOS REALIZADOS POR PERSONA NATURAL</v>
      </c>
      <c r="C590" s="23" t="str">
        <v/>
      </c>
      <c r="D590" s="24">
        <v>0</v>
      </c>
      <c r="E590" s="24">
        <v>8600</v>
      </c>
      <c r="F590" s="24">
        <v>8600</v>
      </c>
      <c r="G590" s="25">
        <v>0</v>
      </c>
      <c r="H590" s="25">
        <v>0</v>
      </c>
      <c r="I590" s="25">
        <v>6800</v>
      </c>
      <c r="J590" s="25">
        <v>0</v>
      </c>
      <c r="K590" s="25">
        <v>0</v>
      </c>
      <c r="L590" s="25">
        <v>0</v>
      </c>
      <c r="M590" s="26">
        <f>IF(G590&gt;0,J590/G590,0)</f>
      </c>
    </row>
    <row r="591" ht="14.4" customHeight="1">
      <c r="A591" s="21" t="str">
        <v/>
      </c>
      <c r="B591" s="22" t="str">
        <v>2.6.3.2.2.1     MAQUINAS Y EQUIPOS</v>
      </c>
      <c r="C591" s="23" t="str">
        <v/>
      </c>
      <c r="D591" s="24">
        <v>7000</v>
      </c>
      <c r="E591" s="24">
        <v>0</v>
      </c>
      <c r="F591" s="24">
        <v>7000</v>
      </c>
      <c r="G591" s="25">
        <v>0</v>
      </c>
      <c r="H591" s="25">
        <v>0</v>
      </c>
      <c r="I591" s="25">
        <v>0</v>
      </c>
      <c r="J591" s="25">
        <v>0</v>
      </c>
      <c r="K591" s="25">
        <v>0</v>
      </c>
      <c r="L591" s="25">
        <v>0</v>
      </c>
      <c r="M591" s="26">
        <f>IF(G591&gt;0,J591/G591,0)</f>
      </c>
    </row>
    <row r="592" ht="14.4" customHeight="1">
      <c r="A592" s="15" t="str">
        <v>0066</v>
      </c>
      <c r="B592" s="16" t="str">
        <v>MANTENIMIENTO DE INFRAESTRUCTURA CONSTRUIDA</v>
      </c>
      <c r="C592" s="17" t="str">
        <v/>
      </c>
      <c r="D592" s="18">
        <v>66070</v>
      </c>
      <c r="E592" s="18">
        <v>206800</v>
      </c>
      <c r="F592" s="18">
        <v>272870</v>
      </c>
      <c r="G592" s="19">
        <v>195185.80000000002</v>
      </c>
      <c r="H592" s="19">
        <v>195185.80000000002</v>
      </c>
      <c r="I592" s="19">
        <v>195185.80000000002</v>
      </c>
      <c r="J592" s="19">
        <v>195185.80000000002</v>
      </c>
      <c r="K592" s="19">
        <v>190158.51</v>
      </c>
      <c r="L592" s="19">
        <v>190158.51</v>
      </c>
      <c r="M592" s="20">
        <f>IF(G592&gt;0,J592/G592,0)</f>
      </c>
    </row>
    <row r="593" ht="14.4" customHeight="1">
      <c r="A593" s="15" t="str">
        <v/>
      </c>
      <c r="B593" s="16" t="str">
        <v>18 CANON Y SOBRECANON, REGALIAS, RENTA DE ADUANAS Y PARTICIPACIONES</v>
      </c>
      <c r="C593" s="17" t="str">
        <v/>
      </c>
      <c r="D593" s="18">
        <v>66070</v>
      </c>
      <c r="E593" s="18">
        <v>206800</v>
      </c>
      <c r="F593" s="18">
        <v>272870</v>
      </c>
      <c r="G593" s="19">
        <v>195185.80000000002</v>
      </c>
      <c r="H593" s="19">
        <v>195185.80000000002</v>
      </c>
      <c r="I593" s="19">
        <v>195185.80000000002</v>
      </c>
      <c r="J593" s="19">
        <v>195185.80000000002</v>
      </c>
      <c r="K593" s="19">
        <v>190158.51</v>
      </c>
      <c r="L593" s="19">
        <v>190158.51</v>
      </c>
      <c r="M593" s="20">
        <f>IF(G593&gt;0,J593/G593,0)</f>
      </c>
    </row>
    <row r="594" ht="14.4" customHeight="1">
      <c r="A594" s="21" t="str">
        <v/>
      </c>
      <c r="B594" s="22" t="str">
        <v>2.3.1.11.1.1     PARA EDIFICIOS Y ESTRUCTURAS</v>
      </c>
      <c r="C594" s="23" t="str">
        <v/>
      </c>
      <c r="D594" s="24">
        <v>9075</v>
      </c>
      <c r="E594" s="24">
        <v>0</v>
      </c>
      <c r="F594" s="24">
        <v>9075</v>
      </c>
      <c r="G594" s="25">
        <v>0</v>
      </c>
      <c r="H594" s="25">
        <v>0</v>
      </c>
      <c r="I594" s="25">
        <v>0</v>
      </c>
      <c r="J594" s="25">
        <v>0</v>
      </c>
      <c r="K594" s="25">
        <v>0</v>
      </c>
      <c r="L594" s="25">
        <v>0</v>
      </c>
      <c r="M594" s="26">
        <f>IF(G594&gt;0,J594/G594,0)</f>
      </c>
    </row>
    <row r="595" ht="14.4" customHeight="1">
      <c r="A595" s="21" t="str">
        <v/>
      </c>
      <c r="B595" s="22" t="str">
        <v>2.3.1.11.1.5     OTROS MATERIALES DE MANTENIMIENTO</v>
      </c>
      <c r="C595" s="23" t="str">
        <v/>
      </c>
      <c r="D595" s="24">
        <v>5313</v>
      </c>
      <c r="E595" s="24">
        <v>0</v>
      </c>
      <c r="F595" s="24">
        <v>5313</v>
      </c>
      <c r="G595" s="25">
        <v>0</v>
      </c>
      <c r="H595" s="25">
        <v>0</v>
      </c>
      <c r="I595" s="25">
        <v>0</v>
      </c>
      <c r="J595" s="25">
        <v>0</v>
      </c>
      <c r="K595" s="25">
        <v>0</v>
      </c>
      <c r="L595" s="25">
        <v>0</v>
      </c>
      <c r="M595" s="26">
        <f>IF(G595&gt;0,J595/G595,0)</f>
      </c>
    </row>
    <row r="596" ht="14.4" customHeight="1">
      <c r="A596" s="21" t="str">
        <v/>
      </c>
      <c r="B596" s="22" t="str">
        <v>2.3.1.2.1.1     VESTUARIO, ACCESORIOS Y PRENDAS DIVERSAS</v>
      </c>
      <c r="C596" s="23" t="str">
        <v/>
      </c>
      <c r="D596" s="24">
        <v>2822</v>
      </c>
      <c r="E596" s="24">
        <v>0</v>
      </c>
      <c r="F596" s="24">
        <v>2822</v>
      </c>
      <c r="G596" s="25">
        <v>0</v>
      </c>
      <c r="H596" s="25">
        <v>0</v>
      </c>
      <c r="I596" s="25">
        <v>0</v>
      </c>
      <c r="J596" s="25">
        <v>0</v>
      </c>
      <c r="K596" s="25">
        <v>0</v>
      </c>
      <c r="L596" s="25">
        <v>0</v>
      </c>
      <c r="M596" s="26">
        <f>IF(G596&gt;0,J596/G596,0)</f>
      </c>
    </row>
    <row r="597" ht="14.4" customHeight="1">
      <c r="A597" s="21" t="str">
        <v/>
      </c>
      <c r="B597" s="22" t="str">
        <v>2.3.1.2.1.3     CALZADO</v>
      </c>
      <c r="C597" s="23" t="str">
        <v/>
      </c>
      <c r="D597" s="24">
        <v>637</v>
      </c>
      <c r="E597" s="24">
        <v>0</v>
      </c>
      <c r="F597" s="24">
        <v>637</v>
      </c>
      <c r="G597" s="25">
        <v>0</v>
      </c>
      <c r="H597" s="25">
        <v>0</v>
      </c>
      <c r="I597" s="25">
        <v>0</v>
      </c>
      <c r="J597" s="25">
        <v>0</v>
      </c>
      <c r="K597" s="25">
        <v>0</v>
      </c>
      <c r="L597" s="25">
        <v>0</v>
      </c>
      <c r="M597" s="26">
        <f>IF(G597&gt;0,J597/G597,0)</f>
      </c>
    </row>
    <row r="598" ht="14.4" customHeight="1">
      <c r="A598" s="21" t="str">
        <v/>
      </c>
      <c r="B598" s="22" t="str">
        <v>2.3.1.3.1.1     COMBUSTIBLES Y CARBURANTES</v>
      </c>
      <c r="C598" s="23" t="str">
        <v/>
      </c>
      <c r="D598" s="24">
        <v>200</v>
      </c>
      <c r="E598" s="24">
        <v>0</v>
      </c>
      <c r="F598" s="24">
        <v>200</v>
      </c>
      <c r="G598" s="25">
        <v>0</v>
      </c>
      <c r="H598" s="25">
        <v>0</v>
      </c>
      <c r="I598" s="25">
        <v>0</v>
      </c>
      <c r="J598" s="25">
        <v>0</v>
      </c>
      <c r="K598" s="25">
        <v>0</v>
      </c>
      <c r="L598" s="25">
        <v>0</v>
      </c>
      <c r="M598" s="26">
        <f>IF(G598&gt;0,J598/G598,0)</f>
      </c>
    </row>
    <row r="599" ht="14.4" customHeight="1">
      <c r="A599" s="21" t="str">
        <v/>
      </c>
      <c r="B599" s="22" t="str">
        <v>2.3.1.5.1.2     PAPELERIA EN GENERAL, UTILES Y MATERIALES DE OFICINA</v>
      </c>
      <c r="C599" s="23" t="str">
        <v/>
      </c>
      <c r="D599" s="24">
        <v>83</v>
      </c>
      <c r="E599" s="24">
        <v>0</v>
      </c>
      <c r="F599" s="24">
        <v>83</v>
      </c>
      <c r="G599" s="25">
        <v>0</v>
      </c>
      <c r="H599" s="25">
        <v>0</v>
      </c>
      <c r="I599" s="25">
        <v>0</v>
      </c>
      <c r="J599" s="25">
        <v>0</v>
      </c>
      <c r="K599" s="25">
        <v>0</v>
      </c>
      <c r="L599" s="25">
        <v>0</v>
      </c>
      <c r="M599" s="26">
        <f>IF(G599&gt;0,J599/G599,0)</f>
      </c>
    </row>
    <row r="600" ht="14.4" customHeight="1">
      <c r="A600" s="21" t="str">
        <v/>
      </c>
      <c r="B600" s="22" t="str">
        <v>2.3.1.5.3.1     ASEO, LIMPIEZA Y TOCADOR</v>
      </c>
      <c r="C600" s="23" t="str">
        <v/>
      </c>
      <c r="D600" s="24">
        <v>594</v>
      </c>
      <c r="E600" s="24">
        <v>0</v>
      </c>
      <c r="F600" s="24">
        <v>594</v>
      </c>
      <c r="G600" s="25">
        <v>0</v>
      </c>
      <c r="H600" s="25">
        <v>0</v>
      </c>
      <c r="I600" s="25">
        <v>0</v>
      </c>
      <c r="J600" s="25">
        <v>0</v>
      </c>
      <c r="K600" s="25">
        <v>0</v>
      </c>
      <c r="L600" s="25">
        <v>0</v>
      </c>
      <c r="M600" s="26">
        <f>IF(G600&gt;0,J600/G600,0)</f>
      </c>
    </row>
    <row r="601" ht="14.4" customHeight="1">
      <c r="A601" s="21" t="str">
        <v/>
      </c>
      <c r="B601" s="22" t="str">
        <v>2.3.1.6.1.4     DE SEGURIDAD</v>
      </c>
      <c r="C601" s="23" t="str">
        <v/>
      </c>
      <c r="D601" s="24">
        <v>2828</v>
      </c>
      <c r="E601" s="24">
        <v>0</v>
      </c>
      <c r="F601" s="24">
        <v>2828</v>
      </c>
      <c r="G601" s="25">
        <v>0</v>
      </c>
      <c r="H601" s="25">
        <v>0</v>
      </c>
      <c r="I601" s="25">
        <v>0</v>
      </c>
      <c r="J601" s="25">
        <v>0</v>
      </c>
      <c r="K601" s="25">
        <v>0</v>
      </c>
      <c r="L601" s="25">
        <v>0</v>
      </c>
      <c r="M601" s="26">
        <f>IF(G601&gt;0,J601/G601,0)</f>
      </c>
    </row>
    <row r="602" ht="14.4" customHeight="1">
      <c r="A602" s="21" t="str">
        <v/>
      </c>
      <c r="B602" s="22" t="str">
        <v>2.3.1.8.1.2     MEDICAMENTOS</v>
      </c>
      <c r="C602" s="23" t="str">
        <v/>
      </c>
      <c r="D602" s="24">
        <v>637</v>
      </c>
      <c r="E602" s="24">
        <v>0</v>
      </c>
      <c r="F602" s="24">
        <v>637</v>
      </c>
      <c r="G602" s="25">
        <v>0</v>
      </c>
      <c r="H602" s="25">
        <v>0</v>
      </c>
      <c r="I602" s="25">
        <v>0</v>
      </c>
      <c r="J602" s="25">
        <v>0</v>
      </c>
      <c r="K602" s="25">
        <v>0</v>
      </c>
      <c r="L602" s="25">
        <v>0</v>
      </c>
      <c r="M602" s="26">
        <f>IF(G602&gt;0,J602/G602,0)</f>
      </c>
    </row>
    <row r="603" ht="14.4" customHeight="1">
      <c r="A603" s="21" t="str">
        <v/>
      </c>
      <c r="B603" s="22" t="str">
        <v>2.3.1.99.1.1     HERRAMIENTAS</v>
      </c>
      <c r="C603" s="23" t="str">
        <v/>
      </c>
      <c r="D603" s="24">
        <v>2781</v>
      </c>
      <c r="E603" s="24">
        <v>0</v>
      </c>
      <c r="F603" s="24">
        <v>2781</v>
      </c>
      <c r="G603" s="25">
        <v>0</v>
      </c>
      <c r="H603" s="25">
        <v>0</v>
      </c>
      <c r="I603" s="25">
        <v>0</v>
      </c>
      <c r="J603" s="25">
        <v>0</v>
      </c>
      <c r="K603" s="25">
        <v>0</v>
      </c>
      <c r="L603" s="25">
        <v>0</v>
      </c>
      <c r="M603" s="26">
        <f>IF(G603&gt;0,J603/G603,0)</f>
      </c>
    </row>
    <row r="604" ht="14.4" customHeight="1">
      <c r="A604" s="21" t="str">
        <v/>
      </c>
      <c r="B604" s="22" t="str">
        <v>2.3.1.99.1.99     OTROS BIENES</v>
      </c>
      <c r="C604" s="23" t="str">
        <v/>
      </c>
      <c r="D604" s="24">
        <v>3666</v>
      </c>
      <c r="E604" s="24">
        <v>7000</v>
      </c>
      <c r="F604" s="24">
        <v>10666</v>
      </c>
      <c r="G604" s="25">
        <v>0</v>
      </c>
      <c r="H604" s="25">
        <v>0</v>
      </c>
      <c r="I604" s="25">
        <v>0</v>
      </c>
      <c r="J604" s="25">
        <v>0</v>
      </c>
      <c r="K604" s="25">
        <v>0</v>
      </c>
      <c r="L604" s="25">
        <v>0</v>
      </c>
      <c r="M604" s="26">
        <f>IF(G604&gt;0,J604/G604,0)</f>
      </c>
    </row>
    <row r="605" ht="14.4" customHeight="1">
      <c r="A605" s="21" t="str">
        <v/>
      </c>
      <c r="B605" s="22" t="str">
        <v>2.3.2.4.2.1     DE EDIFICACIONES, OFICINAS Y ESTRUCTURAS</v>
      </c>
      <c r="C605" s="23" t="str">
        <v/>
      </c>
      <c r="D605" s="24">
        <v>1345</v>
      </c>
      <c r="E605" s="24">
        <v>0</v>
      </c>
      <c r="F605" s="24">
        <v>1345</v>
      </c>
      <c r="G605" s="25">
        <v>0</v>
      </c>
      <c r="H605" s="25">
        <v>0</v>
      </c>
      <c r="I605" s="25">
        <v>0</v>
      </c>
      <c r="J605" s="25">
        <v>0</v>
      </c>
      <c r="K605" s="25">
        <v>0</v>
      </c>
      <c r="L605" s="25">
        <v>0</v>
      </c>
      <c r="M605" s="26">
        <f>IF(G605&gt;0,J605/G605,0)</f>
      </c>
    </row>
    <row r="606" ht="14.4" customHeight="1">
      <c r="A606" s="21" t="str">
        <v/>
      </c>
      <c r="B606" s="22" t="str">
        <v>2.3.2.5.1.1     DE EDIFICIOS Y ESTRUCTURAS</v>
      </c>
      <c r="C606" s="23" t="str">
        <v/>
      </c>
      <c r="D606" s="24">
        <v>266</v>
      </c>
      <c r="E606" s="24">
        <v>0</v>
      </c>
      <c r="F606" s="24">
        <v>266</v>
      </c>
      <c r="G606" s="25">
        <v>0</v>
      </c>
      <c r="H606" s="25">
        <v>0</v>
      </c>
      <c r="I606" s="25">
        <v>0</v>
      </c>
      <c r="J606" s="25">
        <v>0</v>
      </c>
      <c r="K606" s="25">
        <v>0</v>
      </c>
      <c r="L606" s="25">
        <v>0</v>
      </c>
      <c r="M606" s="26">
        <f>IF(G606&gt;0,J606/G606,0)</f>
      </c>
    </row>
    <row r="607" ht="14.4" customHeight="1">
      <c r="A607" s="21" t="str">
        <v/>
      </c>
      <c r="B607" s="22" t="str">
        <v>2.3.2.6.3.1     SEGURO DE VIDA</v>
      </c>
      <c r="C607" s="23" t="str">
        <v/>
      </c>
      <c r="D607" s="24">
        <v>45</v>
      </c>
      <c r="E607" s="24">
        <v>0</v>
      </c>
      <c r="F607" s="24">
        <v>45</v>
      </c>
      <c r="G607" s="25">
        <v>0</v>
      </c>
      <c r="H607" s="25">
        <v>0</v>
      </c>
      <c r="I607" s="25">
        <v>0</v>
      </c>
      <c r="J607" s="25">
        <v>0</v>
      </c>
      <c r="K607" s="25">
        <v>0</v>
      </c>
      <c r="L607" s="25">
        <v>0</v>
      </c>
      <c r="M607" s="26">
        <f>IF(G607&gt;0,J607/G607,0)</f>
      </c>
    </row>
    <row r="608" ht="14.4" customHeight="1">
      <c r="A608" s="21" t="str">
        <v/>
      </c>
      <c r="B608" s="22" t="str">
        <v>2.3.2.7.11.2     TRANSPORTE Y TRASLADO DE CARGA, BIENES Y MATERIALES</v>
      </c>
      <c r="C608" s="23" t="str">
        <v/>
      </c>
      <c r="D608" s="24">
        <v>83</v>
      </c>
      <c r="E608" s="24">
        <v>0</v>
      </c>
      <c r="F608" s="24">
        <v>83</v>
      </c>
      <c r="G608" s="25">
        <v>0</v>
      </c>
      <c r="H608" s="25">
        <v>0</v>
      </c>
      <c r="I608" s="25">
        <v>0</v>
      </c>
      <c r="J608" s="25">
        <v>0</v>
      </c>
      <c r="K608" s="25">
        <v>0</v>
      </c>
      <c r="L608" s="25">
        <v>0</v>
      </c>
      <c r="M608" s="26">
        <f>IF(G608&gt;0,J608/G608,0)</f>
      </c>
    </row>
    <row r="609" ht="14.4" customHeight="1">
      <c r="A609" s="21" t="str">
        <v/>
      </c>
      <c r="B609" s="22" t="str">
        <v>2.3.2.7.11.99     SERVICIOS DIVERSOS</v>
      </c>
      <c r="C609" s="23" t="str">
        <v/>
      </c>
      <c r="D609" s="24">
        <v>32885</v>
      </c>
      <c r="E609" s="24">
        <v>0</v>
      </c>
      <c r="F609" s="24">
        <v>32885</v>
      </c>
      <c r="G609" s="25">
        <v>5027.29</v>
      </c>
      <c r="H609" s="25">
        <v>5027.29</v>
      </c>
      <c r="I609" s="25">
        <v>5027.29</v>
      </c>
      <c r="J609" s="25">
        <v>5027.29</v>
      </c>
      <c r="K609" s="25">
        <v>0</v>
      </c>
      <c r="L609" s="25">
        <v>0</v>
      </c>
      <c r="M609" s="26">
        <f>IF(G609&gt;0,J609/G609,0)</f>
      </c>
    </row>
    <row r="610" ht="14.4" customHeight="1">
      <c r="A610" s="21" t="str">
        <v/>
      </c>
      <c r="B610" s="22" t="str">
        <v>2.3.2.7.14.98     OTROS SERVICIOS TÉCNICOS Y PROFESIONALES DESARROLLADOS POR PERSONAS NATURALES</v>
      </c>
      <c r="C610" s="23" t="str">
        <v/>
      </c>
      <c r="D610" s="24">
        <v>2810</v>
      </c>
      <c r="E610" s="24">
        <v>199800</v>
      </c>
      <c r="F610" s="24">
        <v>202610</v>
      </c>
      <c r="G610" s="25">
        <v>190158.51</v>
      </c>
      <c r="H610" s="25">
        <v>190158.51</v>
      </c>
      <c r="I610" s="25">
        <v>190158.51</v>
      </c>
      <c r="J610" s="25">
        <v>190158.51</v>
      </c>
      <c r="K610" s="25">
        <v>190158.51</v>
      </c>
      <c r="L610" s="25">
        <v>190158.51</v>
      </c>
      <c r="M610" s="26">
        <f>IF(G610&gt;0,J610/G610,0)</f>
      </c>
    </row>
    <row r="611" ht="14.4" customHeight="1">
      <c r="A611" s="15" t="str">
        <v>0067</v>
      </c>
      <c r="B611" s="16" t="str">
        <v>MANTENIMIENTO DE INFRAESTRUCTURA CONSTRUIDA</v>
      </c>
      <c r="C611" s="17" t="str">
        <v/>
      </c>
      <c r="D611" s="18">
        <v>21541</v>
      </c>
      <c r="E611" s="18">
        <v>0</v>
      </c>
      <c r="F611" s="18">
        <v>21541</v>
      </c>
      <c r="G611" s="19">
        <v>10732</v>
      </c>
      <c r="H611" s="19">
        <v>10732</v>
      </c>
      <c r="I611" s="19">
        <v>10732</v>
      </c>
      <c r="J611" s="19">
        <v>10732</v>
      </c>
      <c r="K611" s="19">
        <v>0</v>
      </c>
      <c r="L611" s="19">
        <v>0</v>
      </c>
      <c r="M611" s="20">
        <f>IF(G611&gt;0,J611/G611,0)</f>
      </c>
    </row>
    <row r="612" ht="14.4" customHeight="1">
      <c r="A612" s="15" t="str">
        <v/>
      </c>
      <c r="B612" s="16" t="str">
        <v>18 CANON Y SOBRECANON, REGALIAS, RENTA DE ADUANAS Y PARTICIPACIONES</v>
      </c>
      <c r="C612" s="17" t="str">
        <v/>
      </c>
      <c r="D612" s="18">
        <v>21541</v>
      </c>
      <c r="E612" s="18">
        <v>0</v>
      </c>
      <c r="F612" s="18">
        <v>21541</v>
      </c>
      <c r="G612" s="19">
        <v>10732</v>
      </c>
      <c r="H612" s="19">
        <v>10732</v>
      </c>
      <c r="I612" s="19">
        <v>10732</v>
      </c>
      <c r="J612" s="19">
        <v>10732</v>
      </c>
      <c r="K612" s="19">
        <v>0</v>
      </c>
      <c r="L612" s="19">
        <v>0</v>
      </c>
      <c r="M612" s="20">
        <f>IF(G612&gt;0,J612/G612,0)</f>
      </c>
    </row>
    <row r="613" ht="14.4" customHeight="1">
      <c r="A613" s="21" t="str">
        <v/>
      </c>
      <c r="B613" s="22" t="str">
        <v>2.3.1.11.1.1     PARA EDIFICIOS Y ESTRUCTURAS</v>
      </c>
      <c r="C613" s="23" t="str">
        <v/>
      </c>
      <c r="D613" s="24">
        <v>2961</v>
      </c>
      <c r="E613" s="24">
        <v>0</v>
      </c>
      <c r="F613" s="24">
        <v>2961</v>
      </c>
      <c r="G613" s="25">
        <v>0</v>
      </c>
      <c r="H613" s="25">
        <v>0</v>
      </c>
      <c r="I613" s="25">
        <v>0</v>
      </c>
      <c r="J613" s="25">
        <v>0</v>
      </c>
      <c r="K613" s="25">
        <v>0</v>
      </c>
      <c r="L613" s="25">
        <v>0</v>
      </c>
      <c r="M613" s="26">
        <f>IF(G613&gt;0,J613/G613,0)</f>
      </c>
    </row>
    <row r="614" ht="14.4" customHeight="1">
      <c r="A614" s="21" t="str">
        <v/>
      </c>
      <c r="B614" s="22" t="str">
        <v>2.3.1.11.1.5     OTROS MATERIALES DE MANTENIMIENTO</v>
      </c>
      <c r="C614" s="23" t="str">
        <v/>
      </c>
      <c r="D614" s="24">
        <v>1733</v>
      </c>
      <c r="E614" s="24">
        <v>0</v>
      </c>
      <c r="F614" s="24">
        <v>1733</v>
      </c>
      <c r="G614" s="25">
        <v>0</v>
      </c>
      <c r="H614" s="25">
        <v>0</v>
      </c>
      <c r="I614" s="25">
        <v>0</v>
      </c>
      <c r="J614" s="25">
        <v>0</v>
      </c>
      <c r="K614" s="25">
        <v>0</v>
      </c>
      <c r="L614" s="25">
        <v>0</v>
      </c>
      <c r="M614" s="26">
        <f>IF(G614&gt;0,J614/G614,0)</f>
      </c>
    </row>
    <row r="615" ht="14.4" customHeight="1">
      <c r="A615" s="21" t="str">
        <v/>
      </c>
      <c r="B615" s="22" t="str">
        <v>2.3.1.2.1.1     VESTUARIO, ACCESORIOS Y PRENDAS DIVERSAS</v>
      </c>
      <c r="C615" s="23" t="str">
        <v/>
      </c>
      <c r="D615" s="24">
        <v>920</v>
      </c>
      <c r="E615" s="24">
        <v>0</v>
      </c>
      <c r="F615" s="24">
        <v>920</v>
      </c>
      <c r="G615" s="25">
        <v>0</v>
      </c>
      <c r="H615" s="25">
        <v>0</v>
      </c>
      <c r="I615" s="25">
        <v>0</v>
      </c>
      <c r="J615" s="25">
        <v>0</v>
      </c>
      <c r="K615" s="25">
        <v>0</v>
      </c>
      <c r="L615" s="25">
        <v>0</v>
      </c>
      <c r="M615" s="26">
        <f>IF(G615&gt;0,J615/G615,0)</f>
      </c>
    </row>
    <row r="616" ht="14.4" customHeight="1">
      <c r="A616" s="21" t="str">
        <v/>
      </c>
      <c r="B616" s="22" t="str">
        <v>2.3.1.2.1.3     CALZADO</v>
      </c>
      <c r="C616" s="23" t="str">
        <v/>
      </c>
      <c r="D616" s="24">
        <v>206</v>
      </c>
      <c r="E616" s="24">
        <v>0</v>
      </c>
      <c r="F616" s="24">
        <v>206</v>
      </c>
      <c r="G616" s="25">
        <v>0</v>
      </c>
      <c r="H616" s="25">
        <v>0</v>
      </c>
      <c r="I616" s="25">
        <v>0</v>
      </c>
      <c r="J616" s="25">
        <v>0</v>
      </c>
      <c r="K616" s="25">
        <v>0</v>
      </c>
      <c r="L616" s="25">
        <v>0</v>
      </c>
      <c r="M616" s="26">
        <f>IF(G616&gt;0,J616/G616,0)</f>
      </c>
    </row>
    <row r="617" ht="14.4" customHeight="1">
      <c r="A617" s="21" t="str">
        <v/>
      </c>
      <c r="B617" s="22" t="str">
        <v>2.3.1.3.1.1     COMBUSTIBLES Y CARBURANTES</v>
      </c>
      <c r="C617" s="23" t="str">
        <v/>
      </c>
      <c r="D617" s="24">
        <v>64</v>
      </c>
      <c r="E617" s="24">
        <v>0</v>
      </c>
      <c r="F617" s="24">
        <v>64</v>
      </c>
      <c r="G617" s="25">
        <v>0</v>
      </c>
      <c r="H617" s="25">
        <v>0</v>
      </c>
      <c r="I617" s="25">
        <v>0</v>
      </c>
      <c r="J617" s="25">
        <v>0</v>
      </c>
      <c r="K617" s="25">
        <v>0</v>
      </c>
      <c r="L617" s="25">
        <v>0</v>
      </c>
      <c r="M617" s="26">
        <f>IF(G617&gt;0,J617/G617,0)</f>
      </c>
    </row>
    <row r="618" ht="14.4" customHeight="1">
      <c r="A618" s="21" t="str">
        <v/>
      </c>
      <c r="B618" s="22" t="str">
        <v>2.3.1.5.1.2     PAPELERIA EN GENERAL, UTILES Y MATERIALES DE OFICINA</v>
      </c>
      <c r="C618" s="23" t="str">
        <v/>
      </c>
      <c r="D618" s="24">
        <v>25</v>
      </c>
      <c r="E618" s="24">
        <v>0</v>
      </c>
      <c r="F618" s="24">
        <v>25</v>
      </c>
      <c r="G618" s="25">
        <v>0</v>
      </c>
      <c r="H618" s="25">
        <v>0</v>
      </c>
      <c r="I618" s="25">
        <v>0</v>
      </c>
      <c r="J618" s="25">
        <v>0</v>
      </c>
      <c r="K618" s="25">
        <v>0</v>
      </c>
      <c r="L618" s="25">
        <v>0</v>
      </c>
      <c r="M618" s="26">
        <f>IF(G618&gt;0,J618/G618,0)</f>
      </c>
    </row>
    <row r="619" ht="14.4" customHeight="1">
      <c r="A619" s="21" t="str">
        <v/>
      </c>
      <c r="B619" s="22" t="str">
        <v>2.3.1.5.3.1     ASEO, LIMPIEZA Y TOCADOR</v>
      </c>
      <c r="C619" s="23" t="str">
        <v/>
      </c>
      <c r="D619" s="24">
        <v>193</v>
      </c>
      <c r="E619" s="24">
        <v>0</v>
      </c>
      <c r="F619" s="24">
        <v>193</v>
      </c>
      <c r="G619" s="25">
        <v>0</v>
      </c>
      <c r="H619" s="25">
        <v>0</v>
      </c>
      <c r="I619" s="25">
        <v>0</v>
      </c>
      <c r="J619" s="25">
        <v>0</v>
      </c>
      <c r="K619" s="25">
        <v>0</v>
      </c>
      <c r="L619" s="25">
        <v>0</v>
      </c>
      <c r="M619" s="26">
        <f>IF(G619&gt;0,J619/G619,0)</f>
      </c>
    </row>
    <row r="620" ht="14.4" customHeight="1">
      <c r="A620" s="21" t="str">
        <v/>
      </c>
      <c r="B620" s="22" t="str">
        <v>2.3.1.6.1.4     DE SEGURIDAD</v>
      </c>
      <c r="C620" s="23" t="str">
        <v/>
      </c>
      <c r="D620" s="24">
        <v>922</v>
      </c>
      <c r="E620" s="24">
        <v>0</v>
      </c>
      <c r="F620" s="24">
        <v>922</v>
      </c>
      <c r="G620" s="25">
        <v>0</v>
      </c>
      <c r="H620" s="25">
        <v>0</v>
      </c>
      <c r="I620" s="25">
        <v>0</v>
      </c>
      <c r="J620" s="25">
        <v>0</v>
      </c>
      <c r="K620" s="25">
        <v>0</v>
      </c>
      <c r="L620" s="25">
        <v>0</v>
      </c>
      <c r="M620" s="26">
        <f>IF(G620&gt;0,J620/G620,0)</f>
      </c>
    </row>
    <row r="621" ht="14.4" customHeight="1">
      <c r="A621" s="21" t="str">
        <v/>
      </c>
      <c r="B621" s="22" t="str">
        <v>2.3.1.8.1.2     MEDICAMENTOS</v>
      </c>
      <c r="C621" s="23" t="str">
        <v/>
      </c>
      <c r="D621" s="24">
        <v>206</v>
      </c>
      <c r="E621" s="24">
        <v>0</v>
      </c>
      <c r="F621" s="24">
        <v>206</v>
      </c>
      <c r="G621" s="25">
        <v>0</v>
      </c>
      <c r="H621" s="25">
        <v>0</v>
      </c>
      <c r="I621" s="25">
        <v>0</v>
      </c>
      <c r="J621" s="25">
        <v>0</v>
      </c>
      <c r="K621" s="25">
        <v>0</v>
      </c>
      <c r="L621" s="25">
        <v>0</v>
      </c>
      <c r="M621" s="26">
        <f>IF(G621&gt;0,J621/G621,0)</f>
      </c>
    </row>
    <row r="622" ht="14.4" customHeight="1">
      <c r="A622" s="21" t="str">
        <v/>
      </c>
      <c r="B622" s="22" t="str">
        <v>2.3.1.99.1.1     HERRAMIENTAS</v>
      </c>
      <c r="C622" s="23" t="str">
        <v/>
      </c>
      <c r="D622" s="24">
        <v>906</v>
      </c>
      <c r="E622" s="24">
        <v>0</v>
      </c>
      <c r="F622" s="24">
        <v>906</v>
      </c>
      <c r="G622" s="25">
        <v>0</v>
      </c>
      <c r="H622" s="25">
        <v>0</v>
      </c>
      <c r="I622" s="25">
        <v>0</v>
      </c>
      <c r="J622" s="25">
        <v>0</v>
      </c>
      <c r="K622" s="25">
        <v>0</v>
      </c>
      <c r="L622" s="25">
        <v>0</v>
      </c>
      <c r="M622" s="26">
        <f>IF(G622&gt;0,J622/G622,0)</f>
      </c>
    </row>
    <row r="623" ht="14.4" customHeight="1">
      <c r="A623" s="21" t="str">
        <v/>
      </c>
      <c r="B623" s="22" t="str">
        <v>2.3.1.99.1.99     OTROS BIENES</v>
      </c>
      <c r="C623" s="23" t="str">
        <v/>
      </c>
      <c r="D623" s="24">
        <v>1195</v>
      </c>
      <c r="E623" s="24">
        <v>0</v>
      </c>
      <c r="F623" s="24">
        <v>1195</v>
      </c>
      <c r="G623" s="25">
        <v>0</v>
      </c>
      <c r="H623" s="25">
        <v>0</v>
      </c>
      <c r="I623" s="25">
        <v>0</v>
      </c>
      <c r="J623" s="25">
        <v>0</v>
      </c>
      <c r="K623" s="25">
        <v>0</v>
      </c>
      <c r="L623" s="25">
        <v>0</v>
      </c>
      <c r="M623" s="26">
        <f>IF(G623&gt;0,J623/G623,0)</f>
      </c>
    </row>
    <row r="624" ht="14.4" customHeight="1">
      <c r="A624" s="21" t="str">
        <v/>
      </c>
      <c r="B624" s="22" t="str">
        <v>2.3.2.4.2.1     DE EDIFICACIONES, OFICINAS Y ESTRUCTURAS</v>
      </c>
      <c r="C624" s="23" t="str">
        <v/>
      </c>
      <c r="D624" s="24">
        <v>438</v>
      </c>
      <c r="E624" s="24">
        <v>0</v>
      </c>
      <c r="F624" s="24">
        <v>438</v>
      </c>
      <c r="G624" s="25">
        <v>0</v>
      </c>
      <c r="H624" s="25">
        <v>0</v>
      </c>
      <c r="I624" s="25">
        <v>0</v>
      </c>
      <c r="J624" s="25">
        <v>0</v>
      </c>
      <c r="K624" s="25">
        <v>0</v>
      </c>
      <c r="L624" s="25">
        <v>0</v>
      </c>
      <c r="M624" s="26">
        <f>IF(G624&gt;0,J624/G624,0)</f>
      </c>
    </row>
    <row r="625" ht="14.4" customHeight="1">
      <c r="A625" s="21" t="str">
        <v/>
      </c>
      <c r="B625" s="22" t="str">
        <v>2.3.2.5.1.1     DE EDIFICIOS Y ESTRUCTURAS</v>
      </c>
      <c r="C625" s="23" t="str">
        <v/>
      </c>
      <c r="D625" s="24">
        <v>86</v>
      </c>
      <c r="E625" s="24">
        <v>0</v>
      </c>
      <c r="F625" s="24">
        <v>86</v>
      </c>
      <c r="G625" s="25">
        <v>0</v>
      </c>
      <c r="H625" s="25">
        <v>0</v>
      </c>
      <c r="I625" s="25">
        <v>0</v>
      </c>
      <c r="J625" s="25">
        <v>0</v>
      </c>
      <c r="K625" s="25">
        <v>0</v>
      </c>
      <c r="L625" s="25">
        <v>0</v>
      </c>
      <c r="M625" s="26">
        <f>IF(G625&gt;0,J625/G625,0)</f>
      </c>
    </row>
    <row r="626" ht="14.4" customHeight="1">
      <c r="A626" s="21" t="str">
        <v/>
      </c>
      <c r="B626" s="22" t="str">
        <v>2.3.2.6.3.1     SEGURO DE VIDA</v>
      </c>
      <c r="C626" s="23" t="str">
        <v/>
      </c>
      <c r="D626" s="24">
        <v>13</v>
      </c>
      <c r="E626" s="24">
        <v>0</v>
      </c>
      <c r="F626" s="24">
        <v>13</v>
      </c>
      <c r="G626" s="25">
        <v>0</v>
      </c>
      <c r="H626" s="25">
        <v>0</v>
      </c>
      <c r="I626" s="25">
        <v>0</v>
      </c>
      <c r="J626" s="25">
        <v>0</v>
      </c>
      <c r="K626" s="25">
        <v>0</v>
      </c>
      <c r="L626" s="25">
        <v>0</v>
      </c>
      <c r="M626" s="26">
        <f>IF(G626&gt;0,J626/G626,0)</f>
      </c>
    </row>
    <row r="627" ht="14.4" customHeight="1">
      <c r="A627" s="21" t="str">
        <v/>
      </c>
      <c r="B627" s="22" t="str">
        <v>2.3.2.7.11.2     TRANSPORTE Y TRASLADO DE CARGA, BIENES Y MATERIALES</v>
      </c>
      <c r="C627" s="23" t="str">
        <v/>
      </c>
      <c r="D627" s="24">
        <v>25</v>
      </c>
      <c r="E627" s="24">
        <v>0</v>
      </c>
      <c r="F627" s="24">
        <v>25</v>
      </c>
      <c r="G627" s="25">
        <v>0</v>
      </c>
      <c r="H627" s="25">
        <v>0</v>
      </c>
      <c r="I627" s="25">
        <v>0</v>
      </c>
      <c r="J627" s="25">
        <v>0</v>
      </c>
      <c r="K627" s="25">
        <v>0</v>
      </c>
      <c r="L627" s="25">
        <v>0</v>
      </c>
      <c r="M627" s="26">
        <f>IF(G627&gt;0,J627/G627,0)</f>
      </c>
    </row>
    <row r="628" ht="14.4" customHeight="1">
      <c r="A628" s="21" t="str">
        <v/>
      </c>
      <c r="B628" s="22" t="str">
        <v>2.3.2.7.11.99     SERVICIOS DIVERSOS</v>
      </c>
      <c r="C628" s="23" t="str">
        <v/>
      </c>
      <c r="D628" s="24">
        <v>10732</v>
      </c>
      <c r="E628" s="24">
        <v>0</v>
      </c>
      <c r="F628" s="24">
        <v>10732</v>
      </c>
      <c r="G628" s="25">
        <v>10732</v>
      </c>
      <c r="H628" s="25">
        <v>10732</v>
      </c>
      <c r="I628" s="25">
        <v>10732</v>
      </c>
      <c r="J628" s="25">
        <v>10732</v>
      </c>
      <c r="K628" s="25">
        <v>0</v>
      </c>
      <c r="L628" s="25">
        <v>0</v>
      </c>
      <c r="M628" s="26">
        <f>IF(G628&gt;0,J628/G628,0)</f>
      </c>
    </row>
    <row r="629" ht="14.4" customHeight="1">
      <c r="A629" s="21" t="str">
        <v/>
      </c>
      <c r="B629" s="22" t="str">
        <v>2.3.2.7.14.98     OTROS SERVICIOS TÉCNICOS Y PROFESIONALES DESARROLLADOS POR PERSONAS NATURALES</v>
      </c>
      <c r="C629" s="23" t="str">
        <v/>
      </c>
      <c r="D629" s="24">
        <v>916</v>
      </c>
      <c r="E629" s="24">
        <v>0</v>
      </c>
      <c r="F629" s="24">
        <v>916</v>
      </c>
      <c r="G629" s="25">
        <v>0</v>
      </c>
      <c r="H629" s="25">
        <v>0</v>
      </c>
      <c r="I629" s="25">
        <v>0</v>
      </c>
      <c r="J629" s="25">
        <v>0</v>
      </c>
      <c r="K629" s="25">
        <v>0</v>
      </c>
      <c r="L629" s="25">
        <v>0</v>
      </c>
      <c r="M629" s="26">
        <f>IF(G629&gt;0,J629/G629,0)</f>
      </c>
    </row>
    <row r="630" ht="14.4" customHeight="1">
      <c r="A630" s="15" t="str">
        <v>0068</v>
      </c>
      <c r="B630" s="16" t="str">
        <v>MANTENIMIENTO DE INFRAESTRUCTURA CONSTRUIDA</v>
      </c>
      <c r="C630" s="17" t="str">
        <v/>
      </c>
      <c r="D630" s="18">
        <v>87892</v>
      </c>
      <c r="E630" s="18">
        <v>124263</v>
      </c>
      <c r="F630" s="18">
        <v>212155</v>
      </c>
      <c r="G630" s="19">
        <v>46135</v>
      </c>
      <c r="H630" s="19">
        <v>46135</v>
      </c>
      <c r="I630" s="19">
        <v>46135</v>
      </c>
      <c r="J630" s="19">
        <v>43775</v>
      </c>
      <c r="K630" s="19">
        <v>41345.84</v>
      </c>
      <c r="L630" s="19">
        <v>41345.84</v>
      </c>
      <c r="M630" s="20">
        <f>IF(G630&gt;0,J630/G630,0)</f>
      </c>
    </row>
    <row r="631" ht="14.4" customHeight="1">
      <c r="A631" s="15" t="str">
        <v/>
      </c>
      <c r="B631" s="16" t="str">
        <v>07 FONDO DE COMPENSACION MUNICIPAL</v>
      </c>
      <c r="C631" s="17" t="str">
        <v/>
      </c>
      <c r="D631" s="18">
        <v>0</v>
      </c>
      <c r="E631" s="18">
        <v>128000</v>
      </c>
      <c r="F631" s="18">
        <v>128000</v>
      </c>
      <c r="G631" s="19">
        <v>0</v>
      </c>
      <c r="H631" s="19">
        <v>0</v>
      </c>
      <c r="I631" s="19">
        <v>0</v>
      </c>
      <c r="J631" s="19">
        <v>0</v>
      </c>
      <c r="K631" s="19">
        <v>0</v>
      </c>
      <c r="L631" s="19">
        <v>0</v>
      </c>
      <c r="M631" s="20">
        <f>IF(G631&gt;0,J631/G631,0)</f>
      </c>
    </row>
    <row r="632" ht="14.4" customHeight="1">
      <c r="A632" s="21" t="str">
        <v/>
      </c>
      <c r="B632" s="22" t="str">
        <v>2.3.2.7.14.98     OTROS SERVICIOS TÉCNICOS Y PROFESIONALES DESARROLLADOS POR PERSONAS NATURALES</v>
      </c>
      <c r="C632" s="23" t="str">
        <v/>
      </c>
      <c r="D632" s="24">
        <v>0</v>
      </c>
      <c r="E632" s="24">
        <v>128000</v>
      </c>
      <c r="F632" s="24">
        <v>128000</v>
      </c>
      <c r="G632" s="25">
        <v>0</v>
      </c>
      <c r="H632" s="25">
        <v>0</v>
      </c>
      <c r="I632" s="25">
        <v>0</v>
      </c>
      <c r="J632" s="25">
        <v>0</v>
      </c>
      <c r="K632" s="25">
        <v>0</v>
      </c>
      <c r="L632" s="25">
        <v>0</v>
      </c>
      <c r="M632" s="26">
        <f>IF(G632&gt;0,J632/G632,0)</f>
      </c>
    </row>
    <row r="633" ht="14.4" customHeight="1">
      <c r="A633" s="15" t="str">
        <v/>
      </c>
      <c r="B633" s="16" t="str">
        <v>18 CANON Y SOBRECANON, REGALIAS, RENTA DE ADUANAS Y PARTICIPACIONES</v>
      </c>
      <c r="C633" s="17" t="str">
        <v/>
      </c>
      <c r="D633" s="18">
        <v>87892</v>
      </c>
      <c r="E633" s="18">
        <v>-3737</v>
      </c>
      <c r="F633" s="18">
        <v>84155</v>
      </c>
      <c r="G633" s="19">
        <v>46135</v>
      </c>
      <c r="H633" s="19">
        <v>46135</v>
      </c>
      <c r="I633" s="19">
        <v>46135</v>
      </c>
      <c r="J633" s="19">
        <v>43775</v>
      </c>
      <c r="K633" s="19">
        <v>41345.84</v>
      </c>
      <c r="L633" s="19">
        <v>41345.84</v>
      </c>
      <c r="M633" s="20">
        <f>IF(G633&gt;0,J633/G633,0)</f>
      </c>
    </row>
    <row r="634" ht="14.4" customHeight="1">
      <c r="A634" s="21" t="str">
        <v/>
      </c>
      <c r="B634" s="22" t="str">
        <v>2.3.1.11.1.1     PARA EDIFICIOS Y ESTRUCTURAS</v>
      </c>
      <c r="C634" s="23" t="str">
        <v/>
      </c>
      <c r="D634" s="24">
        <v>12078</v>
      </c>
      <c r="E634" s="24">
        <v>0</v>
      </c>
      <c r="F634" s="24">
        <v>12078</v>
      </c>
      <c r="G634" s="25">
        <v>0</v>
      </c>
      <c r="H634" s="25">
        <v>0</v>
      </c>
      <c r="I634" s="25">
        <v>0</v>
      </c>
      <c r="J634" s="25">
        <v>0</v>
      </c>
      <c r="K634" s="25">
        <v>0</v>
      </c>
      <c r="L634" s="25">
        <v>0</v>
      </c>
      <c r="M634" s="26">
        <f>IF(G634&gt;0,J634/G634,0)</f>
      </c>
    </row>
    <row r="635" ht="14.4" customHeight="1">
      <c r="A635" s="21" t="str">
        <v/>
      </c>
      <c r="B635" s="22" t="str">
        <v>2.3.1.11.1.5     OTROS MATERIALES DE MANTENIMIENTO</v>
      </c>
      <c r="C635" s="23" t="str">
        <v/>
      </c>
      <c r="D635" s="24">
        <v>7070</v>
      </c>
      <c r="E635" s="24">
        <v>0</v>
      </c>
      <c r="F635" s="24">
        <v>7070</v>
      </c>
      <c r="G635" s="25">
        <v>2360</v>
      </c>
      <c r="H635" s="25">
        <v>2360</v>
      </c>
      <c r="I635" s="25">
        <v>2360</v>
      </c>
      <c r="J635" s="25">
        <v>0</v>
      </c>
      <c r="K635" s="25">
        <v>0</v>
      </c>
      <c r="L635" s="25">
        <v>0</v>
      </c>
      <c r="M635" s="26">
        <f>IF(G635&gt;0,J635/G635,0)</f>
      </c>
    </row>
    <row r="636" ht="14.4" customHeight="1">
      <c r="A636" s="21" t="str">
        <v/>
      </c>
      <c r="B636" s="22" t="str">
        <v>2.3.1.2.1.1     VESTUARIO, ACCESORIOS Y PRENDAS DIVERSAS</v>
      </c>
      <c r="C636" s="23" t="str">
        <v/>
      </c>
      <c r="D636" s="24">
        <v>3754</v>
      </c>
      <c r="E636" s="24">
        <v>0</v>
      </c>
      <c r="F636" s="24">
        <v>3754</v>
      </c>
      <c r="G636" s="25">
        <v>0</v>
      </c>
      <c r="H636" s="25">
        <v>0</v>
      </c>
      <c r="I636" s="25">
        <v>0</v>
      </c>
      <c r="J636" s="25">
        <v>0</v>
      </c>
      <c r="K636" s="25">
        <v>0</v>
      </c>
      <c r="L636" s="25">
        <v>0</v>
      </c>
      <c r="M636" s="26">
        <f>IF(G636&gt;0,J636/G636,0)</f>
      </c>
    </row>
    <row r="637" ht="14.4" customHeight="1">
      <c r="A637" s="21" t="str">
        <v/>
      </c>
      <c r="B637" s="22" t="str">
        <v>2.3.1.2.1.3     CALZADO</v>
      </c>
      <c r="C637" s="23" t="str">
        <v/>
      </c>
      <c r="D637" s="24">
        <v>843</v>
      </c>
      <c r="E637" s="24">
        <v>0</v>
      </c>
      <c r="F637" s="24">
        <v>843</v>
      </c>
      <c r="G637" s="25">
        <v>0</v>
      </c>
      <c r="H637" s="25">
        <v>0</v>
      </c>
      <c r="I637" s="25">
        <v>0</v>
      </c>
      <c r="J637" s="25">
        <v>0</v>
      </c>
      <c r="K637" s="25">
        <v>0</v>
      </c>
      <c r="L637" s="25">
        <v>0</v>
      </c>
      <c r="M637" s="26">
        <f>IF(G637&gt;0,J637/G637,0)</f>
      </c>
    </row>
    <row r="638" ht="14.4" customHeight="1">
      <c r="A638" s="21" t="str">
        <v/>
      </c>
      <c r="B638" s="22" t="str">
        <v>2.3.1.3.1.1     COMBUSTIBLES Y CARBURANTES</v>
      </c>
      <c r="C638" s="23" t="str">
        <v/>
      </c>
      <c r="D638" s="24">
        <v>263</v>
      </c>
      <c r="E638" s="24">
        <v>0</v>
      </c>
      <c r="F638" s="24">
        <v>263</v>
      </c>
      <c r="G638" s="25">
        <v>0</v>
      </c>
      <c r="H638" s="25">
        <v>0</v>
      </c>
      <c r="I638" s="25">
        <v>0</v>
      </c>
      <c r="J638" s="25">
        <v>0</v>
      </c>
      <c r="K638" s="25">
        <v>0</v>
      </c>
      <c r="L638" s="25">
        <v>0</v>
      </c>
      <c r="M638" s="26">
        <f>IF(G638&gt;0,J638/G638,0)</f>
      </c>
    </row>
    <row r="639" ht="14.4" customHeight="1">
      <c r="A639" s="21" t="str">
        <v/>
      </c>
      <c r="B639" s="22" t="str">
        <v>2.3.1.5.1.2     PAPELERIA EN GENERAL, UTILES Y MATERIALES DE OFICINA</v>
      </c>
      <c r="C639" s="23" t="str">
        <v/>
      </c>
      <c r="D639" s="24">
        <v>105</v>
      </c>
      <c r="E639" s="24">
        <v>0</v>
      </c>
      <c r="F639" s="24">
        <v>105</v>
      </c>
      <c r="G639" s="25">
        <v>0</v>
      </c>
      <c r="H639" s="25">
        <v>0</v>
      </c>
      <c r="I639" s="25">
        <v>0</v>
      </c>
      <c r="J639" s="25">
        <v>0</v>
      </c>
      <c r="K639" s="25">
        <v>0</v>
      </c>
      <c r="L639" s="25">
        <v>0</v>
      </c>
      <c r="M639" s="26">
        <f>IF(G639&gt;0,J639/G639,0)</f>
      </c>
    </row>
    <row r="640" ht="14.4" customHeight="1">
      <c r="A640" s="21" t="str">
        <v/>
      </c>
      <c r="B640" s="22" t="str">
        <v>2.3.1.5.3.1     ASEO, LIMPIEZA Y TOCADOR</v>
      </c>
      <c r="C640" s="23" t="str">
        <v/>
      </c>
      <c r="D640" s="24">
        <v>787</v>
      </c>
      <c r="E640" s="24">
        <v>0</v>
      </c>
      <c r="F640" s="24">
        <v>787</v>
      </c>
      <c r="G640" s="25">
        <v>0</v>
      </c>
      <c r="H640" s="25">
        <v>0</v>
      </c>
      <c r="I640" s="25">
        <v>0</v>
      </c>
      <c r="J640" s="25">
        <v>0</v>
      </c>
      <c r="K640" s="25">
        <v>0</v>
      </c>
      <c r="L640" s="25">
        <v>0</v>
      </c>
      <c r="M640" s="26">
        <f>IF(G640&gt;0,J640/G640,0)</f>
      </c>
    </row>
    <row r="641" ht="14.4" customHeight="1">
      <c r="A641" s="21" t="str">
        <v/>
      </c>
      <c r="B641" s="22" t="str">
        <v>2.3.1.6.1.4     DE SEGURIDAD</v>
      </c>
      <c r="C641" s="23" t="str">
        <v/>
      </c>
      <c r="D641" s="24">
        <v>3762</v>
      </c>
      <c r="E641" s="24">
        <v>0</v>
      </c>
      <c r="F641" s="24">
        <v>3762</v>
      </c>
      <c r="G641" s="25">
        <v>0</v>
      </c>
      <c r="H641" s="25">
        <v>0</v>
      </c>
      <c r="I641" s="25">
        <v>0</v>
      </c>
      <c r="J641" s="25">
        <v>0</v>
      </c>
      <c r="K641" s="25">
        <v>0</v>
      </c>
      <c r="L641" s="25">
        <v>0</v>
      </c>
      <c r="M641" s="26">
        <f>IF(G641&gt;0,J641/G641,0)</f>
      </c>
    </row>
    <row r="642" ht="14.4" customHeight="1">
      <c r="A642" s="21" t="str">
        <v/>
      </c>
      <c r="B642" s="22" t="str">
        <v>2.3.1.8.1.2     MEDICAMENTOS</v>
      </c>
      <c r="C642" s="23" t="str">
        <v/>
      </c>
      <c r="D642" s="24">
        <v>843</v>
      </c>
      <c r="E642" s="24">
        <v>0</v>
      </c>
      <c r="F642" s="24">
        <v>843</v>
      </c>
      <c r="G642" s="25">
        <v>0</v>
      </c>
      <c r="H642" s="25">
        <v>0</v>
      </c>
      <c r="I642" s="25">
        <v>0</v>
      </c>
      <c r="J642" s="25">
        <v>0</v>
      </c>
      <c r="K642" s="25">
        <v>0</v>
      </c>
      <c r="L642" s="25">
        <v>0</v>
      </c>
      <c r="M642" s="26">
        <f>IF(G642&gt;0,J642/G642,0)</f>
      </c>
    </row>
    <row r="643" ht="14.4" customHeight="1">
      <c r="A643" s="21" t="str">
        <v/>
      </c>
      <c r="B643" s="22" t="str">
        <v>2.3.1.99.1.1     HERRAMIENTAS</v>
      </c>
      <c r="C643" s="23" t="str">
        <v/>
      </c>
      <c r="D643" s="24">
        <v>3698</v>
      </c>
      <c r="E643" s="24">
        <v>0</v>
      </c>
      <c r="F643" s="24">
        <v>3698</v>
      </c>
      <c r="G643" s="25">
        <v>0</v>
      </c>
      <c r="H643" s="25">
        <v>0</v>
      </c>
      <c r="I643" s="25">
        <v>0</v>
      </c>
      <c r="J643" s="25">
        <v>0</v>
      </c>
      <c r="K643" s="25">
        <v>0</v>
      </c>
      <c r="L643" s="25">
        <v>0</v>
      </c>
      <c r="M643" s="26">
        <f>IF(G643&gt;0,J643/G643,0)</f>
      </c>
    </row>
    <row r="644" ht="14.4" customHeight="1">
      <c r="A644" s="21" t="str">
        <v/>
      </c>
      <c r="B644" s="22" t="str">
        <v>2.3.1.99.1.99     OTROS BIENES</v>
      </c>
      <c r="C644" s="23" t="str">
        <v/>
      </c>
      <c r="D644" s="24">
        <v>4877</v>
      </c>
      <c r="E644" s="24">
        <v>0</v>
      </c>
      <c r="F644" s="24">
        <v>4877</v>
      </c>
      <c r="G644" s="25">
        <v>0</v>
      </c>
      <c r="H644" s="25">
        <v>0</v>
      </c>
      <c r="I644" s="25">
        <v>0</v>
      </c>
      <c r="J644" s="25">
        <v>0</v>
      </c>
      <c r="K644" s="25">
        <v>0</v>
      </c>
      <c r="L644" s="25">
        <v>0</v>
      </c>
      <c r="M644" s="26">
        <f>IF(G644&gt;0,J644/G644,0)</f>
      </c>
    </row>
    <row r="645" ht="14.4" customHeight="1">
      <c r="A645" s="21" t="str">
        <v/>
      </c>
      <c r="B645" s="22" t="str">
        <v>2.3.2.4.2.1     DE EDIFICACIONES, OFICINAS Y ESTRUCTURAS</v>
      </c>
      <c r="C645" s="23" t="str">
        <v/>
      </c>
      <c r="D645" s="24">
        <v>1788</v>
      </c>
      <c r="E645" s="24">
        <v>0</v>
      </c>
      <c r="F645" s="24">
        <v>1788</v>
      </c>
      <c r="G645" s="25">
        <v>0</v>
      </c>
      <c r="H645" s="25">
        <v>0</v>
      </c>
      <c r="I645" s="25">
        <v>0</v>
      </c>
      <c r="J645" s="25">
        <v>0</v>
      </c>
      <c r="K645" s="25">
        <v>0</v>
      </c>
      <c r="L645" s="25">
        <v>0</v>
      </c>
      <c r="M645" s="26">
        <f>IF(G645&gt;0,J645/G645,0)</f>
      </c>
    </row>
    <row r="646" ht="14.4" customHeight="1">
      <c r="A646" s="21" t="str">
        <v/>
      </c>
      <c r="B646" s="22" t="str">
        <v>2.3.2.5.1.1     DE EDIFICIOS Y ESTRUCTURAS</v>
      </c>
      <c r="C646" s="23" t="str">
        <v/>
      </c>
      <c r="D646" s="24">
        <v>351</v>
      </c>
      <c r="E646" s="24">
        <v>0</v>
      </c>
      <c r="F646" s="24">
        <v>351</v>
      </c>
      <c r="G646" s="25">
        <v>0</v>
      </c>
      <c r="H646" s="25">
        <v>0</v>
      </c>
      <c r="I646" s="25">
        <v>0</v>
      </c>
      <c r="J646" s="25">
        <v>0</v>
      </c>
      <c r="K646" s="25">
        <v>0</v>
      </c>
      <c r="L646" s="25">
        <v>0</v>
      </c>
      <c r="M646" s="26">
        <f>IF(G646&gt;0,J646/G646,0)</f>
      </c>
    </row>
    <row r="647" ht="14.4" customHeight="1">
      <c r="A647" s="21" t="str">
        <v/>
      </c>
      <c r="B647" s="22" t="str">
        <v>2.3.2.6.3.1     SEGURO DE VIDA</v>
      </c>
      <c r="C647" s="23" t="str">
        <v/>
      </c>
      <c r="D647" s="24">
        <v>56</v>
      </c>
      <c r="E647" s="24">
        <v>0</v>
      </c>
      <c r="F647" s="24">
        <v>56</v>
      </c>
      <c r="G647" s="25">
        <v>0</v>
      </c>
      <c r="H647" s="25">
        <v>0</v>
      </c>
      <c r="I647" s="25">
        <v>0</v>
      </c>
      <c r="J647" s="25">
        <v>0</v>
      </c>
      <c r="K647" s="25">
        <v>0</v>
      </c>
      <c r="L647" s="25">
        <v>0</v>
      </c>
      <c r="M647" s="26">
        <f>IF(G647&gt;0,J647/G647,0)</f>
      </c>
    </row>
    <row r="648" ht="14.4" customHeight="1">
      <c r="A648" s="21" t="str">
        <v/>
      </c>
      <c r="B648" s="22" t="str">
        <v>2.3.2.7.11.2     TRANSPORTE Y TRASLADO DE CARGA, BIENES Y MATERIALES</v>
      </c>
      <c r="C648" s="23" t="str">
        <v/>
      </c>
      <c r="D648" s="24">
        <v>105</v>
      </c>
      <c r="E648" s="24">
        <v>0</v>
      </c>
      <c r="F648" s="24">
        <v>105</v>
      </c>
      <c r="G648" s="25">
        <v>0</v>
      </c>
      <c r="H648" s="25">
        <v>0</v>
      </c>
      <c r="I648" s="25">
        <v>0</v>
      </c>
      <c r="J648" s="25">
        <v>0</v>
      </c>
      <c r="K648" s="25">
        <v>0</v>
      </c>
      <c r="L648" s="25">
        <v>0</v>
      </c>
      <c r="M648" s="26">
        <f>IF(G648&gt;0,J648/G648,0)</f>
      </c>
    </row>
    <row r="649" ht="14.4" customHeight="1">
      <c r="A649" s="21" t="str">
        <v/>
      </c>
      <c r="B649" s="22" t="str">
        <v>2.3.2.7.11.99     SERVICIOS DIVERSOS</v>
      </c>
      <c r="C649" s="23" t="str">
        <v/>
      </c>
      <c r="D649" s="24">
        <v>43775</v>
      </c>
      <c r="E649" s="24">
        <v>0</v>
      </c>
      <c r="F649" s="24">
        <v>43775</v>
      </c>
      <c r="G649" s="25">
        <v>43775</v>
      </c>
      <c r="H649" s="25">
        <v>43775</v>
      </c>
      <c r="I649" s="25">
        <v>43775</v>
      </c>
      <c r="J649" s="25">
        <v>43775</v>
      </c>
      <c r="K649" s="25">
        <v>41345.84</v>
      </c>
      <c r="L649" s="25">
        <v>41345.84</v>
      </c>
      <c r="M649" s="26">
        <f>IF(G649&gt;0,J649/G649,0)</f>
      </c>
    </row>
    <row r="650" ht="14.4" customHeight="1">
      <c r="A650" s="21" t="str">
        <v/>
      </c>
      <c r="B650" s="22" t="str">
        <v>2.3.2.7.14.98     OTROS SERVICIOS TÉCNICOS Y PROFESIONALES DESARROLLADOS POR PERSONAS NATURALES</v>
      </c>
      <c r="C650" s="23" t="str">
        <v/>
      </c>
      <c r="D650" s="24">
        <v>3737</v>
      </c>
      <c r="E650" s="24">
        <v>-3737</v>
      </c>
      <c r="F650" s="24">
        <v>0</v>
      </c>
      <c r="G650" s="25">
        <v>0</v>
      </c>
      <c r="H650" s="25">
        <v>0</v>
      </c>
      <c r="I650" s="25">
        <v>0</v>
      </c>
      <c r="J650" s="25">
        <v>0</v>
      </c>
      <c r="K650" s="25">
        <v>0</v>
      </c>
      <c r="L650" s="25">
        <v>0</v>
      </c>
      <c r="M650" s="26">
        <f>IF(G650&gt;0,J650/G650,0)</f>
      </c>
    </row>
    <row r="651" ht="14.4" customHeight="1">
      <c r="A651" s="15" t="str">
        <v>0069</v>
      </c>
      <c r="B651" s="16" t="str">
        <v>MANTENIMIENTO DE INFRAESTRUCTURA CONSTRUIDA</v>
      </c>
      <c r="C651" s="17" t="str">
        <v/>
      </c>
      <c r="D651" s="18">
        <v>36390</v>
      </c>
      <c r="E651" s="18">
        <v>-5097</v>
      </c>
      <c r="F651" s="18">
        <v>31293</v>
      </c>
      <c r="G651" s="19">
        <v>18127</v>
      </c>
      <c r="H651" s="19">
        <v>18127</v>
      </c>
      <c r="I651" s="19">
        <v>18127</v>
      </c>
      <c r="J651" s="19">
        <v>18127</v>
      </c>
      <c r="K651" s="19">
        <v>0</v>
      </c>
      <c r="L651" s="19">
        <v>0</v>
      </c>
      <c r="M651" s="20">
        <f>IF(G651&gt;0,J651/G651,0)</f>
      </c>
    </row>
    <row r="652" ht="14.4" customHeight="1">
      <c r="A652" s="15" t="str">
        <v/>
      </c>
      <c r="B652" s="16" t="str">
        <v>18 CANON Y SOBRECANON, REGALIAS, RENTA DE ADUANAS Y PARTICIPACIONES</v>
      </c>
      <c r="C652" s="17" t="str">
        <v/>
      </c>
      <c r="D652" s="18">
        <v>36390</v>
      </c>
      <c r="E652" s="18">
        <v>-5097</v>
      </c>
      <c r="F652" s="18">
        <v>31293</v>
      </c>
      <c r="G652" s="19">
        <v>18127</v>
      </c>
      <c r="H652" s="19">
        <v>18127</v>
      </c>
      <c r="I652" s="19">
        <v>18127</v>
      </c>
      <c r="J652" s="19">
        <v>18127</v>
      </c>
      <c r="K652" s="19">
        <v>0</v>
      </c>
      <c r="L652" s="19">
        <v>0</v>
      </c>
      <c r="M652" s="20">
        <f>IF(G652&gt;0,J652/G652,0)</f>
      </c>
    </row>
    <row r="653" ht="14.4" customHeight="1">
      <c r="A653" s="21" t="str">
        <v/>
      </c>
      <c r="B653" s="22" t="str">
        <v>2.3.1.11.1.1     PARA EDIFICIOS Y ESTRUCTURAS</v>
      </c>
      <c r="C653" s="23" t="str">
        <v/>
      </c>
      <c r="D653" s="24">
        <v>5001</v>
      </c>
      <c r="E653" s="24">
        <v>0</v>
      </c>
      <c r="F653" s="24">
        <v>5001</v>
      </c>
      <c r="G653" s="25">
        <v>0</v>
      </c>
      <c r="H653" s="25">
        <v>0</v>
      </c>
      <c r="I653" s="25">
        <v>0</v>
      </c>
      <c r="J653" s="25">
        <v>0</v>
      </c>
      <c r="K653" s="25">
        <v>0</v>
      </c>
      <c r="L653" s="25">
        <v>0</v>
      </c>
      <c r="M653" s="26">
        <f>IF(G653&gt;0,J653/G653,0)</f>
      </c>
    </row>
    <row r="654" ht="14.4" customHeight="1">
      <c r="A654" s="21" t="str">
        <v/>
      </c>
      <c r="B654" s="22" t="str">
        <v>2.3.1.11.1.5     OTROS MATERIALES DE MANTENIMIENTO</v>
      </c>
      <c r="C654" s="23" t="str">
        <v/>
      </c>
      <c r="D654" s="24">
        <v>2928</v>
      </c>
      <c r="E654" s="24">
        <v>0</v>
      </c>
      <c r="F654" s="24">
        <v>2928</v>
      </c>
      <c r="G654" s="25">
        <v>0</v>
      </c>
      <c r="H654" s="25">
        <v>0</v>
      </c>
      <c r="I654" s="25">
        <v>0</v>
      </c>
      <c r="J654" s="25">
        <v>0</v>
      </c>
      <c r="K654" s="25">
        <v>0</v>
      </c>
      <c r="L654" s="25">
        <v>0</v>
      </c>
      <c r="M654" s="26">
        <f>IF(G654&gt;0,J654/G654,0)</f>
      </c>
    </row>
    <row r="655" ht="14.4" customHeight="1">
      <c r="A655" s="21" t="str">
        <v/>
      </c>
      <c r="B655" s="22" t="str">
        <v>2.3.1.2.1.1     VESTUARIO, ACCESORIOS Y PRENDAS DIVERSAS</v>
      </c>
      <c r="C655" s="23" t="str">
        <v/>
      </c>
      <c r="D655" s="24">
        <v>1554</v>
      </c>
      <c r="E655" s="24">
        <v>0</v>
      </c>
      <c r="F655" s="24">
        <v>1554</v>
      </c>
      <c r="G655" s="25">
        <v>0</v>
      </c>
      <c r="H655" s="25">
        <v>0</v>
      </c>
      <c r="I655" s="25">
        <v>0</v>
      </c>
      <c r="J655" s="25">
        <v>0</v>
      </c>
      <c r="K655" s="25">
        <v>0</v>
      </c>
      <c r="L655" s="25">
        <v>0</v>
      </c>
      <c r="M655" s="26">
        <f>IF(G655&gt;0,J655/G655,0)</f>
      </c>
    </row>
    <row r="656" ht="14.4" customHeight="1">
      <c r="A656" s="21" t="str">
        <v/>
      </c>
      <c r="B656" s="22" t="str">
        <v>2.3.1.2.1.3     CALZADO</v>
      </c>
      <c r="C656" s="23" t="str">
        <v/>
      </c>
      <c r="D656" s="24">
        <v>349</v>
      </c>
      <c r="E656" s="24">
        <v>0</v>
      </c>
      <c r="F656" s="24">
        <v>349</v>
      </c>
      <c r="G656" s="25">
        <v>0</v>
      </c>
      <c r="H656" s="25">
        <v>0</v>
      </c>
      <c r="I656" s="25">
        <v>0</v>
      </c>
      <c r="J656" s="25">
        <v>0</v>
      </c>
      <c r="K656" s="25">
        <v>0</v>
      </c>
      <c r="L656" s="25">
        <v>0</v>
      </c>
      <c r="M656" s="26">
        <f>IF(G656&gt;0,J656/G656,0)</f>
      </c>
    </row>
    <row r="657" ht="14.4" customHeight="1">
      <c r="A657" s="21" t="str">
        <v/>
      </c>
      <c r="B657" s="22" t="str">
        <v>2.3.1.3.1.1     COMBUSTIBLES Y CARBURANTES</v>
      </c>
      <c r="C657" s="23" t="str">
        <v/>
      </c>
      <c r="D657" s="24">
        <v>109</v>
      </c>
      <c r="E657" s="24">
        <v>0</v>
      </c>
      <c r="F657" s="24">
        <v>109</v>
      </c>
      <c r="G657" s="25">
        <v>0</v>
      </c>
      <c r="H657" s="25">
        <v>0</v>
      </c>
      <c r="I657" s="25">
        <v>0</v>
      </c>
      <c r="J657" s="25">
        <v>0</v>
      </c>
      <c r="K657" s="25">
        <v>0</v>
      </c>
      <c r="L657" s="25">
        <v>0</v>
      </c>
      <c r="M657" s="26">
        <f>IF(G657&gt;0,J657/G657,0)</f>
      </c>
    </row>
    <row r="658" ht="14.4" customHeight="1">
      <c r="A658" s="21" t="str">
        <v/>
      </c>
      <c r="B658" s="22" t="str">
        <v>2.3.1.5.1.2     PAPELERIA EN GENERAL, UTILES Y MATERIALES DE OFICINA</v>
      </c>
      <c r="C658" s="23" t="str">
        <v/>
      </c>
      <c r="D658" s="24">
        <v>43</v>
      </c>
      <c r="E658" s="24">
        <v>0</v>
      </c>
      <c r="F658" s="24">
        <v>43</v>
      </c>
      <c r="G658" s="25">
        <v>0</v>
      </c>
      <c r="H658" s="25">
        <v>0</v>
      </c>
      <c r="I658" s="25">
        <v>0</v>
      </c>
      <c r="J658" s="25">
        <v>0</v>
      </c>
      <c r="K658" s="25">
        <v>0</v>
      </c>
      <c r="L658" s="25">
        <v>0</v>
      </c>
      <c r="M658" s="26">
        <f>IF(G658&gt;0,J658/G658,0)</f>
      </c>
    </row>
    <row r="659" ht="14.4" customHeight="1">
      <c r="A659" s="21" t="str">
        <v/>
      </c>
      <c r="B659" s="22" t="str">
        <v>2.3.1.5.3.1     ASEO, LIMPIEZA Y TOCADOR</v>
      </c>
      <c r="C659" s="23" t="str">
        <v/>
      </c>
      <c r="D659" s="24">
        <v>325</v>
      </c>
      <c r="E659" s="24">
        <v>0</v>
      </c>
      <c r="F659" s="24">
        <v>325</v>
      </c>
      <c r="G659" s="25">
        <v>0</v>
      </c>
      <c r="H659" s="25">
        <v>0</v>
      </c>
      <c r="I659" s="25">
        <v>0</v>
      </c>
      <c r="J659" s="25">
        <v>0</v>
      </c>
      <c r="K659" s="25">
        <v>0</v>
      </c>
      <c r="L659" s="25">
        <v>0</v>
      </c>
      <c r="M659" s="26">
        <f>IF(G659&gt;0,J659/G659,0)</f>
      </c>
    </row>
    <row r="660" ht="14.4" customHeight="1">
      <c r="A660" s="21" t="str">
        <v/>
      </c>
      <c r="B660" s="22" t="str">
        <v>2.3.1.6.1.4     DE SEGURIDAD</v>
      </c>
      <c r="C660" s="23" t="str">
        <v/>
      </c>
      <c r="D660" s="24">
        <v>1557</v>
      </c>
      <c r="E660" s="24">
        <v>0</v>
      </c>
      <c r="F660" s="24">
        <v>1557</v>
      </c>
      <c r="G660" s="25">
        <v>0</v>
      </c>
      <c r="H660" s="25">
        <v>0</v>
      </c>
      <c r="I660" s="25">
        <v>0</v>
      </c>
      <c r="J660" s="25">
        <v>0</v>
      </c>
      <c r="K660" s="25">
        <v>0</v>
      </c>
      <c r="L660" s="25">
        <v>0</v>
      </c>
      <c r="M660" s="26">
        <f>IF(G660&gt;0,J660/G660,0)</f>
      </c>
    </row>
    <row r="661" ht="14.4" customHeight="1">
      <c r="A661" s="21" t="str">
        <v/>
      </c>
      <c r="B661" s="22" t="str">
        <v>2.3.1.8.1.2     MEDICAMENTOS</v>
      </c>
      <c r="C661" s="23" t="str">
        <v/>
      </c>
      <c r="D661" s="24">
        <v>349</v>
      </c>
      <c r="E661" s="24">
        <v>0</v>
      </c>
      <c r="F661" s="24">
        <v>349</v>
      </c>
      <c r="G661" s="25">
        <v>0</v>
      </c>
      <c r="H661" s="25">
        <v>0</v>
      </c>
      <c r="I661" s="25">
        <v>0</v>
      </c>
      <c r="J661" s="25">
        <v>0</v>
      </c>
      <c r="K661" s="25">
        <v>0</v>
      </c>
      <c r="L661" s="25">
        <v>0</v>
      </c>
      <c r="M661" s="26">
        <f>IF(G661&gt;0,J661/G661,0)</f>
      </c>
    </row>
    <row r="662" ht="14.4" customHeight="1">
      <c r="A662" s="21" t="str">
        <v/>
      </c>
      <c r="B662" s="22" t="str">
        <v>2.3.1.99.1.1     HERRAMIENTAS</v>
      </c>
      <c r="C662" s="23" t="str">
        <v/>
      </c>
      <c r="D662" s="24">
        <v>1531</v>
      </c>
      <c r="E662" s="24">
        <v>-1531</v>
      </c>
      <c r="F662" s="24">
        <v>0</v>
      </c>
      <c r="G662" s="25">
        <v>0</v>
      </c>
      <c r="H662" s="25">
        <v>0</v>
      </c>
      <c r="I662" s="25">
        <v>0</v>
      </c>
      <c r="J662" s="25">
        <v>0</v>
      </c>
      <c r="K662" s="25">
        <v>0</v>
      </c>
      <c r="L662" s="25">
        <v>0</v>
      </c>
      <c r="M662" s="26">
        <f>IF(G662&gt;0,J662/G662,0)</f>
      </c>
    </row>
    <row r="663" ht="14.4" customHeight="1">
      <c r="A663" s="21" t="str">
        <v/>
      </c>
      <c r="B663" s="22" t="str">
        <v>2.3.1.99.1.99     OTROS BIENES</v>
      </c>
      <c r="C663" s="23" t="str">
        <v/>
      </c>
      <c r="D663" s="24">
        <v>2019</v>
      </c>
      <c r="E663" s="24">
        <v>-2019</v>
      </c>
      <c r="F663" s="24">
        <v>0</v>
      </c>
      <c r="G663" s="25">
        <v>0</v>
      </c>
      <c r="H663" s="25">
        <v>0</v>
      </c>
      <c r="I663" s="25">
        <v>0</v>
      </c>
      <c r="J663" s="25">
        <v>0</v>
      </c>
      <c r="K663" s="25">
        <v>0</v>
      </c>
      <c r="L663" s="25">
        <v>0</v>
      </c>
      <c r="M663" s="26">
        <f>IF(G663&gt;0,J663/G663,0)</f>
      </c>
    </row>
    <row r="664" ht="14.4" customHeight="1">
      <c r="A664" s="21" t="str">
        <v/>
      </c>
      <c r="B664" s="22" t="str">
        <v>2.3.2.4.2.1     DE EDIFICACIONES, OFICINAS Y ESTRUCTURAS</v>
      </c>
      <c r="C664" s="23" t="str">
        <v/>
      </c>
      <c r="D664" s="24">
        <v>740</v>
      </c>
      <c r="E664" s="24">
        <v>0</v>
      </c>
      <c r="F664" s="24">
        <v>740</v>
      </c>
      <c r="G664" s="25">
        <v>0</v>
      </c>
      <c r="H664" s="25">
        <v>0</v>
      </c>
      <c r="I664" s="25">
        <v>0</v>
      </c>
      <c r="J664" s="25">
        <v>0</v>
      </c>
      <c r="K664" s="25">
        <v>0</v>
      </c>
      <c r="L664" s="25">
        <v>0</v>
      </c>
      <c r="M664" s="26">
        <f>IF(G664&gt;0,J664/G664,0)</f>
      </c>
    </row>
    <row r="665" ht="14.4" customHeight="1">
      <c r="A665" s="21" t="str">
        <v/>
      </c>
      <c r="B665" s="22" t="str">
        <v>2.3.2.5.1.1     DE EDIFICIOS Y ESTRUCTURAS</v>
      </c>
      <c r="C665" s="23" t="str">
        <v/>
      </c>
      <c r="D665" s="24">
        <v>145</v>
      </c>
      <c r="E665" s="24">
        <v>0</v>
      </c>
      <c r="F665" s="24">
        <v>145</v>
      </c>
      <c r="G665" s="25">
        <v>0</v>
      </c>
      <c r="H665" s="25">
        <v>0</v>
      </c>
      <c r="I665" s="25">
        <v>0</v>
      </c>
      <c r="J665" s="25">
        <v>0</v>
      </c>
      <c r="K665" s="25">
        <v>0</v>
      </c>
      <c r="L665" s="25">
        <v>0</v>
      </c>
      <c r="M665" s="26">
        <f>IF(G665&gt;0,J665/G665,0)</f>
      </c>
    </row>
    <row r="666" ht="14.4" customHeight="1">
      <c r="A666" s="21" t="str">
        <v/>
      </c>
      <c r="B666" s="22" t="str">
        <v>2.3.2.6.3.1     SEGURO DE VIDA</v>
      </c>
      <c r="C666" s="23" t="str">
        <v/>
      </c>
      <c r="D666" s="24">
        <v>23</v>
      </c>
      <c r="E666" s="24">
        <v>0</v>
      </c>
      <c r="F666" s="24">
        <v>23</v>
      </c>
      <c r="G666" s="25">
        <v>0</v>
      </c>
      <c r="H666" s="25">
        <v>0</v>
      </c>
      <c r="I666" s="25">
        <v>0</v>
      </c>
      <c r="J666" s="25">
        <v>0</v>
      </c>
      <c r="K666" s="25">
        <v>0</v>
      </c>
      <c r="L666" s="25">
        <v>0</v>
      </c>
      <c r="M666" s="26">
        <f>IF(G666&gt;0,J666/G666,0)</f>
      </c>
    </row>
    <row r="667" ht="14.4" customHeight="1">
      <c r="A667" s="21" t="str">
        <v/>
      </c>
      <c r="B667" s="22" t="str">
        <v>2.3.2.7.11.2     TRANSPORTE Y TRASLADO DE CARGA, BIENES Y MATERIALES</v>
      </c>
      <c r="C667" s="23" t="str">
        <v/>
      </c>
      <c r="D667" s="24">
        <v>43</v>
      </c>
      <c r="E667" s="24">
        <v>0</v>
      </c>
      <c r="F667" s="24">
        <v>43</v>
      </c>
      <c r="G667" s="25">
        <v>0</v>
      </c>
      <c r="H667" s="25">
        <v>0</v>
      </c>
      <c r="I667" s="25">
        <v>0</v>
      </c>
      <c r="J667" s="25">
        <v>0</v>
      </c>
      <c r="K667" s="25">
        <v>0</v>
      </c>
      <c r="L667" s="25">
        <v>0</v>
      </c>
      <c r="M667" s="26">
        <f>IF(G667&gt;0,J667/G667,0)</f>
      </c>
    </row>
    <row r="668" ht="14.4" customHeight="1">
      <c r="A668" s="21" t="str">
        <v/>
      </c>
      <c r="B668" s="22" t="str">
        <v>2.3.2.7.11.99     SERVICIOS DIVERSOS</v>
      </c>
      <c r="C668" s="23" t="str">
        <v/>
      </c>
      <c r="D668" s="24">
        <v>18127</v>
      </c>
      <c r="E668" s="24">
        <v>0</v>
      </c>
      <c r="F668" s="24">
        <v>18127</v>
      </c>
      <c r="G668" s="25">
        <v>18127</v>
      </c>
      <c r="H668" s="25">
        <v>18127</v>
      </c>
      <c r="I668" s="25">
        <v>18127</v>
      </c>
      <c r="J668" s="25">
        <v>18127</v>
      </c>
      <c r="K668" s="25">
        <v>0</v>
      </c>
      <c r="L668" s="25">
        <v>0</v>
      </c>
      <c r="M668" s="26">
        <f>IF(G668&gt;0,J668/G668,0)</f>
      </c>
    </row>
    <row r="669" ht="14.4" customHeight="1">
      <c r="A669" s="21" t="str">
        <v/>
      </c>
      <c r="B669" s="22" t="str">
        <v>2.3.2.7.14.98     OTROS SERVICIOS TÉCNICOS Y PROFESIONALES DESARROLLADOS POR PERSONAS NATURALES</v>
      </c>
      <c r="C669" s="23" t="str">
        <v/>
      </c>
      <c r="D669" s="24">
        <v>1547</v>
      </c>
      <c r="E669" s="24">
        <v>-1547</v>
      </c>
      <c r="F669" s="24">
        <v>0</v>
      </c>
      <c r="G669" s="25">
        <v>0</v>
      </c>
      <c r="H669" s="25">
        <v>0</v>
      </c>
      <c r="I669" s="25">
        <v>0</v>
      </c>
      <c r="J669" s="25">
        <v>0</v>
      </c>
      <c r="K669" s="25">
        <v>0</v>
      </c>
      <c r="L669" s="25">
        <v>0</v>
      </c>
      <c r="M669" s="26">
        <f>IF(G669&gt;0,J669/G669,0)</f>
      </c>
    </row>
    <row r="670" ht="14.4" customHeight="1">
      <c r="A670" s="15" t="str">
        <v>0070</v>
      </c>
      <c r="B670" s="16" t="str">
        <v>MANTENIMIENTO DE INFRAESTRUCTURA CONSTRUIDA</v>
      </c>
      <c r="C670" s="17" t="str">
        <v/>
      </c>
      <c r="D670" s="18">
        <v>14817</v>
      </c>
      <c r="E670" s="18">
        <v>0</v>
      </c>
      <c r="F670" s="18">
        <v>14817</v>
      </c>
      <c r="G670" s="19">
        <v>0</v>
      </c>
      <c r="H670" s="19">
        <v>0</v>
      </c>
      <c r="I670" s="19">
        <v>0</v>
      </c>
      <c r="J670" s="19">
        <v>0</v>
      </c>
      <c r="K670" s="19">
        <v>0</v>
      </c>
      <c r="L670" s="19">
        <v>0</v>
      </c>
      <c r="M670" s="20">
        <f>IF(G670&gt;0,J670/G670,0)</f>
      </c>
    </row>
    <row r="671" ht="14.4" customHeight="1">
      <c r="A671" s="15" t="str">
        <v/>
      </c>
      <c r="B671" s="16" t="str">
        <v>18 CANON Y SOBRECANON, REGALIAS, RENTA DE ADUANAS Y PARTICIPACIONES</v>
      </c>
      <c r="C671" s="17" t="str">
        <v/>
      </c>
      <c r="D671" s="18">
        <v>14817</v>
      </c>
      <c r="E671" s="18">
        <v>0</v>
      </c>
      <c r="F671" s="18">
        <v>14817</v>
      </c>
      <c r="G671" s="19">
        <v>0</v>
      </c>
      <c r="H671" s="19">
        <v>0</v>
      </c>
      <c r="I671" s="19">
        <v>0</v>
      </c>
      <c r="J671" s="19">
        <v>0</v>
      </c>
      <c r="K671" s="19">
        <v>0</v>
      </c>
      <c r="L671" s="19">
        <v>0</v>
      </c>
      <c r="M671" s="20">
        <f>IF(G671&gt;0,J671/G671,0)</f>
      </c>
    </row>
    <row r="672" ht="14.4" customHeight="1">
      <c r="A672" s="21" t="str">
        <v/>
      </c>
      <c r="B672" s="22" t="str">
        <v>2.3.1.11.1.1     PARA EDIFICIOS Y ESTRUCTURAS</v>
      </c>
      <c r="C672" s="23" t="str">
        <v/>
      </c>
      <c r="D672" s="24">
        <v>2037</v>
      </c>
      <c r="E672" s="24">
        <v>0</v>
      </c>
      <c r="F672" s="24">
        <v>2037</v>
      </c>
      <c r="G672" s="25">
        <v>0</v>
      </c>
      <c r="H672" s="25">
        <v>0</v>
      </c>
      <c r="I672" s="25">
        <v>0</v>
      </c>
      <c r="J672" s="25">
        <v>0</v>
      </c>
      <c r="K672" s="25">
        <v>0</v>
      </c>
      <c r="L672" s="25">
        <v>0</v>
      </c>
      <c r="M672" s="26">
        <f>IF(G672&gt;0,J672/G672,0)</f>
      </c>
    </row>
    <row r="673" ht="14.4" customHeight="1">
      <c r="A673" s="21" t="str">
        <v/>
      </c>
      <c r="B673" s="22" t="str">
        <v>2.3.1.11.1.5     OTROS MATERIALES DE MANTENIMIENTO</v>
      </c>
      <c r="C673" s="23" t="str">
        <v/>
      </c>
      <c r="D673" s="24">
        <v>1192</v>
      </c>
      <c r="E673" s="24">
        <v>0</v>
      </c>
      <c r="F673" s="24">
        <v>1192</v>
      </c>
      <c r="G673" s="25">
        <v>0</v>
      </c>
      <c r="H673" s="25">
        <v>0</v>
      </c>
      <c r="I673" s="25">
        <v>0</v>
      </c>
      <c r="J673" s="25">
        <v>0</v>
      </c>
      <c r="K673" s="25">
        <v>0</v>
      </c>
      <c r="L673" s="25">
        <v>0</v>
      </c>
      <c r="M673" s="26">
        <f>IF(G673&gt;0,J673/G673,0)</f>
      </c>
    </row>
    <row r="674" ht="14.4" customHeight="1">
      <c r="A674" s="21" t="str">
        <v/>
      </c>
      <c r="B674" s="22" t="str">
        <v>2.3.1.2.1.1     VESTUARIO, ACCESORIOS Y PRENDAS DIVERSAS</v>
      </c>
      <c r="C674" s="23" t="str">
        <v/>
      </c>
      <c r="D674" s="24">
        <v>633</v>
      </c>
      <c r="E674" s="24">
        <v>0</v>
      </c>
      <c r="F674" s="24">
        <v>633</v>
      </c>
      <c r="G674" s="25">
        <v>0</v>
      </c>
      <c r="H674" s="25">
        <v>0</v>
      </c>
      <c r="I674" s="25">
        <v>0</v>
      </c>
      <c r="J674" s="25">
        <v>0</v>
      </c>
      <c r="K674" s="25">
        <v>0</v>
      </c>
      <c r="L674" s="25">
        <v>0</v>
      </c>
      <c r="M674" s="26">
        <f>IF(G674&gt;0,J674/G674,0)</f>
      </c>
    </row>
    <row r="675" ht="14.4" customHeight="1">
      <c r="A675" s="21" t="str">
        <v/>
      </c>
      <c r="B675" s="22" t="str">
        <v>2.3.1.2.1.3     CALZADO</v>
      </c>
      <c r="C675" s="23" t="str">
        <v/>
      </c>
      <c r="D675" s="24">
        <v>142</v>
      </c>
      <c r="E675" s="24">
        <v>0</v>
      </c>
      <c r="F675" s="24">
        <v>142</v>
      </c>
      <c r="G675" s="25">
        <v>0</v>
      </c>
      <c r="H675" s="25">
        <v>0</v>
      </c>
      <c r="I675" s="25">
        <v>0</v>
      </c>
      <c r="J675" s="25">
        <v>0</v>
      </c>
      <c r="K675" s="25">
        <v>0</v>
      </c>
      <c r="L675" s="25">
        <v>0</v>
      </c>
      <c r="M675" s="26">
        <f>IF(G675&gt;0,J675/G675,0)</f>
      </c>
    </row>
    <row r="676" ht="14.4" customHeight="1">
      <c r="A676" s="21" t="str">
        <v/>
      </c>
      <c r="B676" s="22" t="str">
        <v>2.3.1.3.1.1     COMBUSTIBLES Y CARBURANTES</v>
      </c>
      <c r="C676" s="23" t="str">
        <v/>
      </c>
      <c r="D676" s="24">
        <v>44</v>
      </c>
      <c r="E676" s="24">
        <v>0</v>
      </c>
      <c r="F676" s="24">
        <v>44</v>
      </c>
      <c r="G676" s="25">
        <v>0</v>
      </c>
      <c r="H676" s="25">
        <v>0</v>
      </c>
      <c r="I676" s="25">
        <v>0</v>
      </c>
      <c r="J676" s="25">
        <v>0</v>
      </c>
      <c r="K676" s="25">
        <v>0</v>
      </c>
      <c r="L676" s="25">
        <v>0</v>
      </c>
      <c r="M676" s="26">
        <f>IF(G676&gt;0,J676/G676,0)</f>
      </c>
    </row>
    <row r="677" ht="14.4" customHeight="1">
      <c r="A677" s="21" t="str">
        <v/>
      </c>
      <c r="B677" s="22" t="str">
        <v>2.3.1.5.1.2     PAPELERIA EN GENERAL, UTILES Y MATERIALES DE OFICINA</v>
      </c>
      <c r="C677" s="23" t="str">
        <v/>
      </c>
      <c r="D677" s="24">
        <v>17</v>
      </c>
      <c r="E677" s="24">
        <v>0</v>
      </c>
      <c r="F677" s="24">
        <v>17</v>
      </c>
      <c r="G677" s="25">
        <v>0</v>
      </c>
      <c r="H677" s="25">
        <v>0</v>
      </c>
      <c r="I677" s="25">
        <v>0</v>
      </c>
      <c r="J677" s="25">
        <v>0</v>
      </c>
      <c r="K677" s="25">
        <v>0</v>
      </c>
      <c r="L677" s="25">
        <v>0</v>
      </c>
      <c r="M677" s="26">
        <f>IF(G677&gt;0,J677/G677,0)</f>
      </c>
    </row>
    <row r="678" ht="14.4" customHeight="1">
      <c r="A678" s="21" t="str">
        <v/>
      </c>
      <c r="B678" s="22" t="str">
        <v>2.3.1.5.3.1     ASEO, LIMPIEZA Y TOCADOR</v>
      </c>
      <c r="C678" s="23" t="str">
        <v/>
      </c>
      <c r="D678" s="24">
        <v>132</v>
      </c>
      <c r="E678" s="24">
        <v>0</v>
      </c>
      <c r="F678" s="24">
        <v>132</v>
      </c>
      <c r="G678" s="25">
        <v>0</v>
      </c>
      <c r="H678" s="25">
        <v>0</v>
      </c>
      <c r="I678" s="25">
        <v>0</v>
      </c>
      <c r="J678" s="25">
        <v>0</v>
      </c>
      <c r="K678" s="25">
        <v>0</v>
      </c>
      <c r="L678" s="25">
        <v>0</v>
      </c>
      <c r="M678" s="26">
        <f>IF(G678&gt;0,J678/G678,0)</f>
      </c>
    </row>
    <row r="679" ht="14.4" customHeight="1">
      <c r="A679" s="21" t="str">
        <v/>
      </c>
      <c r="B679" s="22" t="str">
        <v>2.3.1.6.1.4     DE SEGURIDAD</v>
      </c>
      <c r="C679" s="23" t="str">
        <v/>
      </c>
      <c r="D679" s="24">
        <v>634</v>
      </c>
      <c r="E679" s="24">
        <v>0</v>
      </c>
      <c r="F679" s="24">
        <v>634</v>
      </c>
      <c r="G679" s="25">
        <v>0</v>
      </c>
      <c r="H679" s="25">
        <v>0</v>
      </c>
      <c r="I679" s="25">
        <v>0</v>
      </c>
      <c r="J679" s="25">
        <v>0</v>
      </c>
      <c r="K679" s="25">
        <v>0</v>
      </c>
      <c r="L679" s="25">
        <v>0</v>
      </c>
      <c r="M679" s="26">
        <f>IF(G679&gt;0,J679/G679,0)</f>
      </c>
    </row>
    <row r="680" ht="14.4" customHeight="1">
      <c r="A680" s="21" t="str">
        <v/>
      </c>
      <c r="B680" s="22" t="str">
        <v>2.3.1.8.1.2     MEDICAMENTOS</v>
      </c>
      <c r="C680" s="23" t="str">
        <v/>
      </c>
      <c r="D680" s="24">
        <v>142</v>
      </c>
      <c r="E680" s="24">
        <v>0</v>
      </c>
      <c r="F680" s="24">
        <v>142</v>
      </c>
      <c r="G680" s="25">
        <v>0</v>
      </c>
      <c r="H680" s="25">
        <v>0</v>
      </c>
      <c r="I680" s="25">
        <v>0</v>
      </c>
      <c r="J680" s="25">
        <v>0</v>
      </c>
      <c r="K680" s="25">
        <v>0</v>
      </c>
      <c r="L680" s="25">
        <v>0</v>
      </c>
      <c r="M680" s="26">
        <f>IF(G680&gt;0,J680/G680,0)</f>
      </c>
    </row>
    <row r="681" ht="14.4" customHeight="1">
      <c r="A681" s="21" t="str">
        <v/>
      </c>
      <c r="B681" s="22" t="str">
        <v>2.3.1.99.1.1     HERRAMIENTAS</v>
      </c>
      <c r="C681" s="23" t="str">
        <v/>
      </c>
      <c r="D681" s="24">
        <v>623</v>
      </c>
      <c r="E681" s="24">
        <v>0</v>
      </c>
      <c r="F681" s="24">
        <v>623</v>
      </c>
      <c r="G681" s="25">
        <v>0</v>
      </c>
      <c r="H681" s="25">
        <v>0</v>
      </c>
      <c r="I681" s="25">
        <v>0</v>
      </c>
      <c r="J681" s="25">
        <v>0</v>
      </c>
      <c r="K681" s="25">
        <v>0</v>
      </c>
      <c r="L681" s="25">
        <v>0</v>
      </c>
      <c r="M681" s="26">
        <f>IF(G681&gt;0,J681/G681,0)</f>
      </c>
    </row>
    <row r="682" ht="14.4" customHeight="1">
      <c r="A682" s="21" t="str">
        <v/>
      </c>
      <c r="B682" s="22" t="str">
        <v>2.3.1.99.1.99     OTROS BIENES</v>
      </c>
      <c r="C682" s="23" t="str">
        <v/>
      </c>
      <c r="D682" s="24">
        <v>822</v>
      </c>
      <c r="E682" s="24">
        <v>0</v>
      </c>
      <c r="F682" s="24">
        <v>822</v>
      </c>
      <c r="G682" s="25">
        <v>0</v>
      </c>
      <c r="H682" s="25">
        <v>0</v>
      </c>
      <c r="I682" s="25">
        <v>0</v>
      </c>
      <c r="J682" s="25">
        <v>0</v>
      </c>
      <c r="K682" s="25">
        <v>0</v>
      </c>
      <c r="L682" s="25">
        <v>0</v>
      </c>
      <c r="M682" s="26">
        <f>IF(G682&gt;0,J682/G682,0)</f>
      </c>
    </row>
    <row r="683" ht="14.4" customHeight="1">
      <c r="A683" s="21" t="str">
        <v/>
      </c>
      <c r="B683" s="22" t="str">
        <v>2.3.2.4.2.1     DE EDIFICACIONES, OFICINAS Y ESTRUCTURAS</v>
      </c>
      <c r="C683" s="23" t="str">
        <v/>
      </c>
      <c r="D683" s="24">
        <v>301</v>
      </c>
      <c r="E683" s="24">
        <v>0</v>
      </c>
      <c r="F683" s="24">
        <v>301</v>
      </c>
      <c r="G683" s="25">
        <v>0</v>
      </c>
      <c r="H683" s="25">
        <v>0</v>
      </c>
      <c r="I683" s="25">
        <v>0</v>
      </c>
      <c r="J683" s="25">
        <v>0</v>
      </c>
      <c r="K683" s="25">
        <v>0</v>
      </c>
      <c r="L683" s="25">
        <v>0</v>
      </c>
      <c r="M683" s="26">
        <f>IF(G683&gt;0,J683/G683,0)</f>
      </c>
    </row>
    <row r="684" ht="14.4" customHeight="1">
      <c r="A684" s="21" t="str">
        <v/>
      </c>
      <c r="B684" s="22" t="str">
        <v>2.3.2.5.1.1     DE EDIFICIOS Y ESTRUCTURAS</v>
      </c>
      <c r="C684" s="23" t="str">
        <v/>
      </c>
      <c r="D684" s="24">
        <v>59</v>
      </c>
      <c r="E684" s="24">
        <v>0</v>
      </c>
      <c r="F684" s="24">
        <v>59</v>
      </c>
      <c r="G684" s="25">
        <v>0</v>
      </c>
      <c r="H684" s="25">
        <v>0</v>
      </c>
      <c r="I684" s="25">
        <v>0</v>
      </c>
      <c r="J684" s="25">
        <v>0</v>
      </c>
      <c r="K684" s="25">
        <v>0</v>
      </c>
      <c r="L684" s="25">
        <v>0</v>
      </c>
      <c r="M684" s="26">
        <f>IF(G684&gt;0,J684/G684,0)</f>
      </c>
    </row>
    <row r="685" ht="14.4" customHeight="1">
      <c r="A685" s="21" t="str">
        <v/>
      </c>
      <c r="B685" s="22" t="str">
        <v>2.3.2.6.3.1     SEGURO DE VIDA</v>
      </c>
      <c r="C685" s="23" t="str">
        <v/>
      </c>
      <c r="D685" s="24">
        <v>9</v>
      </c>
      <c r="E685" s="24">
        <v>0</v>
      </c>
      <c r="F685" s="24">
        <v>9</v>
      </c>
      <c r="G685" s="25">
        <v>0</v>
      </c>
      <c r="H685" s="25">
        <v>0</v>
      </c>
      <c r="I685" s="25">
        <v>0</v>
      </c>
      <c r="J685" s="25">
        <v>0</v>
      </c>
      <c r="K685" s="25">
        <v>0</v>
      </c>
      <c r="L685" s="25">
        <v>0</v>
      </c>
      <c r="M685" s="26">
        <f>IF(G685&gt;0,J685/G685,0)</f>
      </c>
    </row>
    <row r="686" ht="14.4" customHeight="1">
      <c r="A686" s="21" t="str">
        <v/>
      </c>
      <c r="B686" s="22" t="str">
        <v>2.3.2.7.11.2     TRANSPORTE Y TRASLADO DE CARGA, BIENES Y MATERIALES</v>
      </c>
      <c r="C686" s="23" t="str">
        <v/>
      </c>
      <c r="D686" s="24">
        <v>17</v>
      </c>
      <c r="E686" s="24">
        <v>0</v>
      </c>
      <c r="F686" s="24">
        <v>17</v>
      </c>
      <c r="G686" s="25">
        <v>0</v>
      </c>
      <c r="H686" s="25">
        <v>0</v>
      </c>
      <c r="I686" s="25">
        <v>0</v>
      </c>
      <c r="J686" s="25">
        <v>0</v>
      </c>
      <c r="K686" s="25">
        <v>0</v>
      </c>
      <c r="L686" s="25">
        <v>0</v>
      </c>
      <c r="M686" s="26">
        <f>IF(G686&gt;0,J686/G686,0)</f>
      </c>
    </row>
    <row r="687" ht="14.4" customHeight="1">
      <c r="A687" s="21" t="str">
        <v/>
      </c>
      <c r="B687" s="22" t="str">
        <v>2.3.2.7.11.99     SERVICIOS DIVERSOS</v>
      </c>
      <c r="C687" s="23" t="str">
        <v/>
      </c>
      <c r="D687" s="24">
        <v>7383</v>
      </c>
      <c r="E687" s="24">
        <v>0</v>
      </c>
      <c r="F687" s="24">
        <v>7383</v>
      </c>
      <c r="G687" s="25">
        <v>0</v>
      </c>
      <c r="H687" s="25">
        <v>0</v>
      </c>
      <c r="I687" s="25">
        <v>0</v>
      </c>
      <c r="J687" s="25">
        <v>0</v>
      </c>
      <c r="K687" s="25">
        <v>0</v>
      </c>
      <c r="L687" s="25">
        <v>0</v>
      </c>
      <c r="M687" s="26">
        <f>IF(G687&gt;0,J687/G687,0)</f>
      </c>
    </row>
    <row r="688" ht="14.4" customHeight="1">
      <c r="A688" s="21" t="str">
        <v/>
      </c>
      <c r="B688" s="22" t="str">
        <v>2.3.2.7.14.98     OTROS SERVICIOS TÉCNICOS Y PROFESIONALES DESARROLLADOS POR PERSONAS NATURALES</v>
      </c>
      <c r="C688" s="23" t="str">
        <v/>
      </c>
      <c r="D688" s="24">
        <v>630</v>
      </c>
      <c r="E688" s="24">
        <v>0</v>
      </c>
      <c r="F688" s="24">
        <v>630</v>
      </c>
      <c r="G688" s="25">
        <v>0</v>
      </c>
      <c r="H688" s="25">
        <v>0</v>
      </c>
      <c r="I688" s="25">
        <v>0</v>
      </c>
      <c r="J688" s="25">
        <v>0</v>
      </c>
      <c r="K688" s="25">
        <v>0</v>
      </c>
      <c r="L688" s="25">
        <v>0</v>
      </c>
      <c r="M688" s="26">
        <f>IF(G688&gt;0,J688/G688,0)</f>
      </c>
    </row>
    <row r="689" ht="14.4" customHeight="1">
      <c r="A689" s="15" t="str">
        <v>0071</v>
      </c>
      <c r="B689" s="16" t="str">
        <v>MANTENIMIENTO DE INFRAESTRUCTURA CONSTRUIDA</v>
      </c>
      <c r="C689" s="17" t="str">
        <v/>
      </c>
      <c r="D689" s="18">
        <v>23290</v>
      </c>
      <c r="E689" s="18">
        <v>0</v>
      </c>
      <c r="F689" s="18">
        <v>23290</v>
      </c>
      <c r="G689" s="19">
        <v>0</v>
      </c>
      <c r="H689" s="19">
        <v>0</v>
      </c>
      <c r="I689" s="19">
        <v>0</v>
      </c>
      <c r="J689" s="19">
        <v>0</v>
      </c>
      <c r="K689" s="19">
        <v>0</v>
      </c>
      <c r="L689" s="19">
        <v>0</v>
      </c>
      <c r="M689" s="20">
        <f>IF(G689&gt;0,J689/G689,0)</f>
      </c>
    </row>
    <row r="690" ht="14.4" customHeight="1">
      <c r="A690" s="15" t="str">
        <v/>
      </c>
      <c r="B690" s="16" t="str">
        <v>18 CANON Y SOBRECANON, REGALIAS, RENTA DE ADUANAS Y PARTICIPACIONES</v>
      </c>
      <c r="C690" s="17" t="str">
        <v/>
      </c>
      <c r="D690" s="18">
        <v>23290</v>
      </c>
      <c r="E690" s="18">
        <v>0</v>
      </c>
      <c r="F690" s="18">
        <v>23290</v>
      </c>
      <c r="G690" s="19">
        <v>0</v>
      </c>
      <c r="H690" s="19">
        <v>0</v>
      </c>
      <c r="I690" s="19">
        <v>0</v>
      </c>
      <c r="J690" s="19">
        <v>0</v>
      </c>
      <c r="K690" s="19">
        <v>0</v>
      </c>
      <c r="L690" s="19">
        <v>0</v>
      </c>
      <c r="M690" s="20">
        <f>IF(G690&gt;0,J690/G690,0)</f>
      </c>
    </row>
    <row r="691" ht="14.4" customHeight="1">
      <c r="A691" s="21" t="str">
        <v/>
      </c>
      <c r="B691" s="22" t="str">
        <v>2.3.1.11.1.1     PARA EDIFICIOS Y ESTRUCTURAS</v>
      </c>
      <c r="C691" s="23" t="str">
        <v/>
      </c>
      <c r="D691" s="24">
        <v>3201</v>
      </c>
      <c r="E691" s="24">
        <v>0</v>
      </c>
      <c r="F691" s="24">
        <v>3201</v>
      </c>
      <c r="G691" s="25">
        <v>0</v>
      </c>
      <c r="H691" s="25">
        <v>0</v>
      </c>
      <c r="I691" s="25">
        <v>0</v>
      </c>
      <c r="J691" s="25">
        <v>0</v>
      </c>
      <c r="K691" s="25">
        <v>0</v>
      </c>
      <c r="L691" s="25">
        <v>0</v>
      </c>
      <c r="M691" s="26">
        <f>IF(G691&gt;0,J691/G691,0)</f>
      </c>
    </row>
    <row r="692" ht="14.4" customHeight="1">
      <c r="A692" s="21" t="str">
        <v/>
      </c>
      <c r="B692" s="22" t="str">
        <v>2.3.1.11.1.5     OTROS MATERIALES DE MANTENIMIENTO</v>
      </c>
      <c r="C692" s="23" t="str">
        <v/>
      </c>
      <c r="D692" s="24">
        <v>1874</v>
      </c>
      <c r="E692" s="24">
        <v>0</v>
      </c>
      <c r="F692" s="24">
        <v>1874</v>
      </c>
      <c r="G692" s="25">
        <v>0</v>
      </c>
      <c r="H692" s="25">
        <v>0</v>
      </c>
      <c r="I692" s="25">
        <v>0</v>
      </c>
      <c r="J692" s="25">
        <v>0</v>
      </c>
      <c r="K692" s="25">
        <v>0</v>
      </c>
      <c r="L692" s="25">
        <v>0</v>
      </c>
      <c r="M692" s="26">
        <f>IF(G692&gt;0,J692/G692,0)</f>
      </c>
    </row>
    <row r="693" ht="14.4" customHeight="1">
      <c r="A693" s="21" t="str">
        <v/>
      </c>
      <c r="B693" s="22" t="str">
        <v>2.3.1.2.1.1     VESTUARIO, ACCESORIOS Y PRENDAS DIVERSAS</v>
      </c>
      <c r="C693" s="23" t="str">
        <v/>
      </c>
      <c r="D693" s="24">
        <v>995</v>
      </c>
      <c r="E693" s="24">
        <v>0</v>
      </c>
      <c r="F693" s="24">
        <v>995</v>
      </c>
      <c r="G693" s="25">
        <v>0</v>
      </c>
      <c r="H693" s="25">
        <v>0</v>
      </c>
      <c r="I693" s="25">
        <v>0</v>
      </c>
      <c r="J693" s="25">
        <v>0</v>
      </c>
      <c r="K693" s="25">
        <v>0</v>
      </c>
      <c r="L693" s="25">
        <v>0</v>
      </c>
      <c r="M693" s="26">
        <f>IF(G693&gt;0,J693/G693,0)</f>
      </c>
    </row>
    <row r="694" ht="14.4" customHeight="1">
      <c r="A694" s="21" t="str">
        <v/>
      </c>
      <c r="B694" s="22" t="str">
        <v>2.3.1.2.1.3     CALZADO</v>
      </c>
      <c r="C694" s="23" t="str">
        <v/>
      </c>
      <c r="D694" s="24">
        <v>223</v>
      </c>
      <c r="E694" s="24">
        <v>0</v>
      </c>
      <c r="F694" s="24">
        <v>223</v>
      </c>
      <c r="G694" s="25">
        <v>0</v>
      </c>
      <c r="H694" s="25">
        <v>0</v>
      </c>
      <c r="I694" s="25">
        <v>0</v>
      </c>
      <c r="J694" s="25">
        <v>0</v>
      </c>
      <c r="K694" s="25">
        <v>0</v>
      </c>
      <c r="L694" s="25">
        <v>0</v>
      </c>
      <c r="M694" s="26">
        <f>IF(G694&gt;0,J694/G694,0)</f>
      </c>
    </row>
    <row r="695" ht="14.4" customHeight="1">
      <c r="A695" s="21" t="str">
        <v/>
      </c>
      <c r="B695" s="22" t="str">
        <v>2.3.1.3.1.1     COMBUSTIBLES Y CARBURANTES</v>
      </c>
      <c r="C695" s="23" t="str">
        <v/>
      </c>
      <c r="D695" s="24">
        <v>69</v>
      </c>
      <c r="E695" s="24">
        <v>0</v>
      </c>
      <c r="F695" s="24">
        <v>69</v>
      </c>
      <c r="G695" s="25">
        <v>0</v>
      </c>
      <c r="H695" s="25">
        <v>0</v>
      </c>
      <c r="I695" s="25">
        <v>0</v>
      </c>
      <c r="J695" s="25">
        <v>0</v>
      </c>
      <c r="K695" s="25">
        <v>0</v>
      </c>
      <c r="L695" s="25">
        <v>0</v>
      </c>
      <c r="M695" s="26">
        <f>IF(G695&gt;0,J695/G695,0)</f>
      </c>
    </row>
    <row r="696" ht="14.4" customHeight="1">
      <c r="A696" s="21" t="str">
        <v/>
      </c>
      <c r="B696" s="22" t="str">
        <v>2.3.1.5.1.2     PAPELERIA EN GENERAL, UTILES Y MATERIALES DE OFICINA</v>
      </c>
      <c r="C696" s="23" t="str">
        <v/>
      </c>
      <c r="D696" s="24">
        <v>27</v>
      </c>
      <c r="E696" s="24">
        <v>0</v>
      </c>
      <c r="F696" s="24">
        <v>27</v>
      </c>
      <c r="G696" s="25">
        <v>0</v>
      </c>
      <c r="H696" s="25">
        <v>0</v>
      </c>
      <c r="I696" s="25">
        <v>0</v>
      </c>
      <c r="J696" s="25">
        <v>0</v>
      </c>
      <c r="K696" s="25">
        <v>0</v>
      </c>
      <c r="L696" s="25">
        <v>0</v>
      </c>
      <c r="M696" s="26">
        <f>IF(G696&gt;0,J696/G696,0)</f>
      </c>
    </row>
    <row r="697" ht="14.4" customHeight="1">
      <c r="A697" s="21" t="str">
        <v/>
      </c>
      <c r="B697" s="22" t="str">
        <v>2.3.1.5.3.1     ASEO, LIMPIEZA Y TOCADOR</v>
      </c>
      <c r="C697" s="23" t="str">
        <v/>
      </c>
      <c r="D697" s="24">
        <v>208</v>
      </c>
      <c r="E697" s="24">
        <v>0</v>
      </c>
      <c r="F697" s="24">
        <v>208</v>
      </c>
      <c r="G697" s="25">
        <v>0</v>
      </c>
      <c r="H697" s="25">
        <v>0</v>
      </c>
      <c r="I697" s="25">
        <v>0</v>
      </c>
      <c r="J697" s="25">
        <v>0</v>
      </c>
      <c r="K697" s="25">
        <v>0</v>
      </c>
      <c r="L697" s="25">
        <v>0</v>
      </c>
      <c r="M697" s="26">
        <f>IF(G697&gt;0,J697/G697,0)</f>
      </c>
    </row>
    <row r="698" ht="14.4" customHeight="1">
      <c r="A698" s="21" t="str">
        <v/>
      </c>
      <c r="B698" s="22" t="str">
        <v>2.3.1.6.1.4     DE SEGURIDAD</v>
      </c>
      <c r="C698" s="23" t="str">
        <v/>
      </c>
      <c r="D698" s="24">
        <v>997</v>
      </c>
      <c r="E698" s="24">
        <v>0</v>
      </c>
      <c r="F698" s="24">
        <v>997</v>
      </c>
      <c r="G698" s="25">
        <v>0</v>
      </c>
      <c r="H698" s="25">
        <v>0</v>
      </c>
      <c r="I698" s="25">
        <v>0</v>
      </c>
      <c r="J698" s="25">
        <v>0</v>
      </c>
      <c r="K698" s="25">
        <v>0</v>
      </c>
      <c r="L698" s="25">
        <v>0</v>
      </c>
      <c r="M698" s="26">
        <f>IF(G698&gt;0,J698/G698,0)</f>
      </c>
    </row>
    <row r="699" ht="14.4" customHeight="1">
      <c r="A699" s="21" t="str">
        <v/>
      </c>
      <c r="B699" s="22" t="str">
        <v>2.3.1.8.1.2     MEDICAMENTOS</v>
      </c>
      <c r="C699" s="23" t="str">
        <v/>
      </c>
      <c r="D699" s="24">
        <v>223</v>
      </c>
      <c r="E699" s="24">
        <v>0</v>
      </c>
      <c r="F699" s="24">
        <v>223</v>
      </c>
      <c r="G699" s="25">
        <v>0</v>
      </c>
      <c r="H699" s="25">
        <v>0</v>
      </c>
      <c r="I699" s="25">
        <v>0</v>
      </c>
      <c r="J699" s="25">
        <v>0</v>
      </c>
      <c r="K699" s="25">
        <v>0</v>
      </c>
      <c r="L699" s="25">
        <v>0</v>
      </c>
      <c r="M699" s="26">
        <f>IF(G699&gt;0,J699/G699,0)</f>
      </c>
    </row>
    <row r="700" ht="14.4" customHeight="1">
      <c r="A700" s="21" t="str">
        <v/>
      </c>
      <c r="B700" s="22" t="str">
        <v>2.3.1.99.1.1     HERRAMIENTAS</v>
      </c>
      <c r="C700" s="23" t="str">
        <v/>
      </c>
      <c r="D700" s="24">
        <v>980</v>
      </c>
      <c r="E700" s="24">
        <v>0</v>
      </c>
      <c r="F700" s="24">
        <v>980</v>
      </c>
      <c r="G700" s="25">
        <v>0</v>
      </c>
      <c r="H700" s="25">
        <v>0</v>
      </c>
      <c r="I700" s="25">
        <v>0</v>
      </c>
      <c r="J700" s="25">
        <v>0</v>
      </c>
      <c r="K700" s="25">
        <v>0</v>
      </c>
      <c r="L700" s="25">
        <v>0</v>
      </c>
      <c r="M700" s="26">
        <f>IF(G700&gt;0,J700/G700,0)</f>
      </c>
    </row>
    <row r="701" ht="14.4" customHeight="1">
      <c r="A701" s="21" t="str">
        <v/>
      </c>
      <c r="B701" s="22" t="str">
        <v>2.3.1.99.1.99     OTROS BIENES</v>
      </c>
      <c r="C701" s="23" t="str">
        <v/>
      </c>
      <c r="D701" s="24">
        <v>1292</v>
      </c>
      <c r="E701" s="24">
        <v>0</v>
      </c>
      <c r="F701" s="24">
        <v>1292</v>
      </c>
      <c r="G701" s="25">
        <v>0</v>
      </c>
      <c r="H701" s="25">
        <v>0</v>
      </c>
      <c r="I701" s="25">
        <v>0</v>
      </c>
      <c r="J701" s="25">
        <v>0</v>
      </c>
      <c r="K701" s="25">
        <v>0</v>
      </c>
      <c r="L701" s="25">
        <v>0</v>
      </c>
      <c r="M701" s="26">
        <f>IF(G701&gt;0,J701/G701,0)</f>
      </c>
    </row>
    <row r="702" ht="14.4" customHeight="1">
      <c r="A702" s="21" t="str">
        <v/>
      </c>
      <c r="B702" s="22" t="str">
        <v>2.3.2.4.2.1     DE EDIFICACIONES, OFICINAS Y ESTRUCTURAS</v>
      </c>
      <c r="C702" s="23" t="str">
        <v/>
      </c>
      <c r="D702" s="24">
        <v>474</v>
      </c>
      <c r="E702" s="24">
        <v>0</v>
      </c>
      <c r="F702" s="24">
        <v>474</v>
      </c>
      <c r="G702" s="25">
        <v>0</v>
      </c>
      <c r="H702" s="25">
        <v>0</v>
      </c>
      <c r="I702" s="25">
        <v>0</v>
      </c>
      <c r="J702" s="25">
        <v>0</v>
      </c>
      <c r="K702" s="25">
        <v>0</v>
      </c>
      <c r="L702" s="25">
        <v>0</v>
      </c>
      <c r="M702" s="26">
        <f>IF(G702&gt;0,J702/G702,0)</f>
      </c>
    </row>
    <row r="703" ht="14.4" customHeight="1">
      <c r="A703" s="21" t="str">
        <v/>
      </c>
      <c r="B703" s="22" t="str">
        <v>2.3.2.5.1.1     DE EDIFICIOS Y ESTRUCTURAS</v>
      </c>
      <c r="C703" s="23" t="str">
        <v/>
      </c>
      <c r="D703" s="24">
        <v>93</v>
      </c>
      <c r="E703" s="24">
        <v>0</v>
      </c>
      <c r="F703" s="24">
        <v>93</v>
      </c>
      <c r="G703" s="25">
        <v>0</v>
      </c>
      <c r="H703" s="25">
        <v>0</v>
      </c>
      <c r="I703" s="25">
        <v>0</v>
      </c>
      <c r="J703" s="25">
        <v>0</v>
      </c>
      <c r="K703" s="25">
        <v>0</v>
      </c>
      <c r="L703" s="25">
        <v>0</v>
      </c>
      <c r="M703" s="26">
        <f>IF(G703&gt;0,J703/G703,0)</f>
      </c>
    </row>
    <row r="704" ht="14.4" customHeight="1">
      <c r="A704" s="21" t="str">
        <v/>
      </c>
      <c r="B704" s="22" t="str">
        <v>2.3.2.6.3.1     SEGURO DE VIDA</v>
      </c>
      <c r="C704" s="23" t="str">
        <v/>
      </c>
      <c r="D704" s="24">
        <v>14</v>
      </c>
      <c r="E704" s="24">
        <v>0</v>
      </c>
      <c r="F704" s="24">
        <v>14</v>
      </c>
      <c r="G704" s="25">
        <v>0</v>
      </c>
      <c r="H704" s="25">
        <v>0</v>
      </c>
      <c r="I704" s="25">
        <v>0</v>
      </c>
      <c r="J704" s="25">
        <v>0</v>
      </c>
      <c r="K704" s="25">
        <v>0</v>
      </c>
      <c r="L704" s="25">
        <v>0</v>
      </c>
      <c r="M704" s="26">
        <f>IF(G704&gt;0,J704/G704,0)</f>
      </c>
    </row>
    <row r="705" ht="14.4" customHeight="1">
      <c r="A705" s="21" t="str">
        <v/>
      </c>
      <c r="B705" s="22" t="str">
        <v>2.3.2.7.11.2     TRANSPORTE Y TRASLADO DE CARGA, BIENES Y MATERIALES</v>
      </c>
      <c r="C705" s="23" t="str">
        <v/>
      </c>
      <c r="D705" s="24">
        <v>27</v>
      </c>
      <c r="E705" s="24">
        <v>0</v>
      </c>
      <c r="F705" s="24">
        <v>27</v>
      </c>
      <c r="G705" s="25">
        <v>0</v>
      </c>
      <c r="H705" s="25">
        <v>0</v>
      </c>
      <c r="I705" s="25">
        <v>0</v>
      </c>
      <c r="J705" s="25">
        <v>0</v>
      </c>
      <c r="K705" s="25">
        <v>0</v>
      </c>
      <c r="L705" s="25">
        <v>0</v>
      </c>
      <c r="M705" s="26">
        <f>IF(G705&gt;0,J705/G705,0)</f>
      </c>
    </row>
    <row r="706" ht="14.4" customHeight="1">
      <c r="A706" s="21" t="str">
        <v/>
      </c>
      <c r="B706" s="22" t="str">
        <v>2.3.2.7.11.99     SERVICIOS DIVERSOS</v>
      </c>
      <c r="C706" s="23" t="str">
        <v/>
      </c>
      <c r="D706" s="24">
        <v>11603</v>
      </c>
      <c r="E706" s="24">
        <v>0</v>
      </c>
      <c r="F706" s="24">
        <v>11603</v>
      </c>
      <c r="G706" s="25">
        <v>0</v>
      </c>
      <c r="H706" s="25">
        <v>0</v>
      </c>
      <c r="I706" s="25">
        <v>0</v>
      </c>
      <c r="J706" s="25">
        <v>0</v>
      </c>
      <c r="K706" s="25">
        <v>0</v>
      </c>
      <c r="L706" s="25">
        <v>0</v>
      </c>
      <c r="M706" s="26">
        <f>IF(G706&gt;0,J706/G706,0)</f>
      </c>
    </row>
    <row r="707" ht="14.4" customHeight="1">
      <c r="A707" s="21" t="str">
        <v/>
      </c>
      <c r="B707" s="22" t="str">
        <v>2.3.2.7.14.98     OTROS SERVICIOS TÉCNICOS Y PROFESIONALES DESARROLLADOS POR PERSONAS NATURALES</v>
      </c>
      <c r="C707" s="23" t="str">
        <v/>
      </c>
      <c r="D707" s="24">
        <v>990</v>
      </c>
      <c r="E707" s="24">
        <v>0</v>
      </c>
      <c r="F707" s="24">
        <v>990</v>
      </c>
      <c r="G707" s="25">
        <v>0</v>
      </c>
      <c r="H707" s="25">
        <v>0</v>
      </c>
      <c r="I707" s="25">
        <v>0</v>
      </c>
      <c r="J707" s="25">
        <v>0</v>
      </c>
      <c r="K707" s="25">
        <v>0</v>
      </c>
      <c r="L707" s="25">
        <v>0</v>
      </c>
      <c r="M707" s="26">
        <f>IF(G707&gt;0,J707/G707,0)</f>
      </c>
    </row>
    <row r="708" ht="14.4" customHeight="1">
      <c r="A708" s="15" t="str">
        <v>0072</v>
      </c>
      <c r="B708" s="16" t="str">
        <v>MANTENIMIENTO DE PARQUES Y JARDINES</v>
      </c>
      <c r="C708" s="17" t="str">
        <v/>
      </c>
      <c r="D708" s="18">
        <v>159637</v>
      </c>
      <c r="E708" s="18">
        <v>0</v>
      </c>
      <c r="F708" s="18">
        <v>159637</v>
      </c>
      <c r="G708" s="19">
        <v>5475</v>
      </c>
      <c r="H708" s="19">
        <v>5457</v>
      </c>
      <c r="I708" s="19">
        <v>12657</v>
      </c>
      <c r="J708" s="19">
        <v>12657</v>
      </c>
      <c r="K708" s="19">
        <v>12657</v>
      </c>
      <c r="L708" s="19">
        <v>12657</v>
      </c>
      <c r="M708" s="20">
        <f>IF(G708&gt;0,J708/G708,0)</f>
      </c>
    </row>
    <row r="709" ht="14.4" customHeight="1">
      <c r="A709" s="15" t="str">
        <v/>
      </c>
      <c r="B709" s="16" t="str">
        <v>07 FONDO DE COMPENSACION MUNICIPAL</v>
      </c>
      <c r="C709" s="17" t="str">
        <v/>
      </c>
      <c r="D709" s="18">
        <v>159637</v>
      </c>
      <c r="E709" s="18">
        <v>0</v>
      </c>
      <c r="F709" s="18">
        <v>159637</v>
      </c>
      <c r="G709" s="19">
        <v>5475</v>
      </c>
      <c r="H709" s="19">
        <v>5457</v>
      </c>
      <c r="I709" s="19">
        <v>12657</v>
      </c>
      <c r="J709" s="19">
        <v>12657</v>
      </c>
      <c r="K709" s="19">
        <v>12657</v>
      </c>
      <c r="L709" s="19">
        <v>12657</v>
      </c>
      <c r="M709" s="20">
        <f>IF(G709&gt;0,J709/G709,0)</f>
      </c>
    </row>
    <row r="710" ht="14.4" customHeight="1">
      <c r="A710" s="21" t="str">
        <v/>
      </c>
      <c r="B710" s="22" t="str">
        <v>2.3.1.10.1.4     FERTILIZANTES, INSECTICIDAS, FUNGICIDAS Y SIMILARES</v>
      </c>
      <c r="C710" s="23" t="str">
        <v/>
      </c>
      <c r="D710" s="24">
        <v>1150</v>
      </c>
      <c r="E710" s="24">
        <v>0</v>
      </c>
      <c r="F710" s="24">
        <v>1150</v>
      </c>
      <c r="G710" s="25">
        <v>0</v>
      </c>
      <c r="H710" s="25">
        <v>0</v>
      </c>
      <c r="I710" s="25">
        <v>0</v>
      </c>
      <c r="J710" s="25">
        <v>0</v>
      </c>
      <c r="K710" s="25">
        <v>0</v>
      </c>
      <c r="L710" s="25">
        <v>0</v>
      </c>
      <c r="M710" s="26">
        <f>IF(G710&gt;0,J710/G710,0)</f>
      </c>
    </row>
    <row r="711" ht="14.4" customHeight="1">
      <c r="A711" s="21" t="str">
        <v/>
      </c>
      <c r="B711" s="22" t="str">
        <v>2.3.1.11.1.3     PARA MOBILIARIO Y SIMILARES</v>
      </c>
      <c r="C711" s="23" t="str">
        <v/>
      </c>
      <c r="D711" s="24">
        <v>850</v>
      </c>
      <c r="E711" s="24">
        <v>0</v>
      </c>
      <c r="F711" s="24">
        <v>850</v>
      </c>
      <c r="G711" s="25">
        <v>0</v>
      </c>
      <c r="H711" s="25">
        <v>0</v>
      </c>
      <c r="I711" s="25">
        <v>0</v>
      </c>
      <c r="J711" s="25">
        <v>0</v>
      </c>
      <c r="K711" s="25">
        <v>0</v>
      </c>
      <c r="L711" s="25">
        <v>0</v>
      </c>
      <c r="M711" s="26">
        <f>IF(G711&gt;0,J711/G711,0)</f>
      </c>
    </row>
    <row r="712" ht="14.4" customHeight="1">
      <c r="A712" s="21" t="str">
        <v/>
      </c>
      <c r="B712" s="22" t="str">
        <v>2.3.1.11.1.5     OTROS MATERIALES DE MANTENIMIENTO</v>
      </c>
      <c r="C712" s="23" t="str">
        <v/>
      </c>
      <c r="D712" s="24">
        <v>2000</v>
      </c>
      <c r="E712" s="24">
        <v>0</v>
      </c>
      <c r="F712" s="24">
        <v>2000</v>
      </c>
      <c r="G712" s="25">
        <v>0</v>
      </c>
      <c r="H712" s="25">
        <v>0</v>
      </c>
      <c r="I712" s="25">
        <v>0</v>
      </c>
      <c r="J712" s="25">
        <v>0</v>
      </c>
      <c r="K712" s="25">
        <v>0</v>
      </c>
      <c r="L712" s="25">
        <v>0</v>
      </c>
      <c r="M712" s="26">
        <f>IF(G712&gt;0,J712/G712,0)</f>
      </c>
    </row>
    <row r="713" ht="14.4" customHeight="1">
      <c r="A713" s="21" t="str">
        <v/>
      </c>
      <c r="B713" s="22" t="str">
        <v>2.3.1.2.1.1     VESTUARIO, ACCESORIOS Y PRENDAS DIVERSAS</v>
      </c>
      <c r="C713" s="23" t="str">
        <v/>
      </c>
      <c r="D713" s="24">
        <v>3380</v>
      </c>
      <c r="E713" s="24">
        <v>0</v>
      </c>
      <c r="F713" s="24">
        <v>3380</v>
      </c>
      <c r="G713" s="25">
        <v>0</v>
      </c>
      <c r="H713" s="25">
        <v>0</v>
      </c>
      <c r="I713" s="25">
        <v>0</v>
      </c>
      <c r="J713" s="25">
        <v>0</v>
      </c>
      <c r="K713" s="25">
        <v>0</v>
      </c>
      <c r="L713" s="25">
        <v>0</v>
      </c>
      <c r="M713" s="26">
        <f>IF(G713&gt;0,J713/G713,0)</f>
      </c>
    </row>
    <row r="714" ht="14.4" customHeight="1">
      <c r="A714" s="21" t="str">
        <v/>
      </c>
      <c r="B714" s="22" t="str">
        <v>2.3.1.2.1.3     CALZADO</v>
      </c>
      <c r="C714" s="23" t="str">
        <v/>
      </c>
      <c r="D714" s="24">
        <v>3840</v>
      </c>
      <c r="E714" s="24">
        <v>0</v>
      </c>
      <c r="F714" s="24">
        <v>3840</v>
      </c>
      <c r="G714" s="25">
        <v>0</v>
      </c>
      <c r="H714" s="25">
        <v>0</v>
      </c>
      <c r="I714" s="25">
        <v>0</v>
      </c>
      <c r="J714" s="25">
        <v>0</v>
      </c>
      <c r="K714" s="25">
        <v>0</v>
      </c>
      <c r="L714" s="25">
        <v>0</v>
      </c>
      <c r="M714" s="26">
        <f>IF(G714&gt;0,J714/G714,0)</f>
      </c>
    </row>
    <row r="715" ht="14.4" customHeight="1">
      <c r="A715" s="21" t="str">
        <v/>
      </c>
      <c r="B715" s="22" t="str">
        <v>2.3.1.3.1.3     LUBRICANTES, GRASAS Y AFINES</v>
      </c>
      <c r="C715" s="23" t="str">
        <v/>
      </c>
      <c r="D715" s="24">
        <v>500</v>
      </c>
      <c r="E715" s="24">
        <v>0</v>
      </c>
      <c r="F715" s="24">
        <v>500</v>
      </c>
      <c r="G715" s="25">
        <v>0</v>
      </c>
      <c r="H715" s="25">
        <v>0</v>
      </c>
      <c r="I715" s="25">
        <v>0</v>
      </c>
      <c r="J715" s="25">
        <v>0</v>
      </c>
      <c r="K715" s="25">
        <v>0</v>
      </c>
      <c r="L715" s="25">
        <v>0</v>
      </c>
      <c r="M715" s="26">
        <f>IF(G715&gt;0,J715/G715,0)</f>
      </c>
    </row>
    <row r="716" ht="14.4" customHeight="1">
      <c r="A716" s="21" t="str">
        <v/>
      </c>
      <c r="B716" s="22" t="str">
        <v>2.3.1.5.2.1     AGROPECUARIO, GANADERO Y DE JARDINERIA</v>
      </c>
      <c r="C716" s="23" t="str">
        <v/>
      </c>
      <c r="D716" s="24">
        <v>14500</v>
      </c>
      <c r="E716" s="24">
        <v>0</v>
      </c>
      <c r="F716" s="24">
        <v>14500</v>
      </c>
      <c r="G716" s="25">
        <v>0</v>
      </c>
      <c r="H716" s="25">
        <v>0</v>
      </c>
      <c r="I716" s="25">
        <v>0</v>
      </c>
      <c r="J716" s="25">
        <v>0</v>
      </c>
      <c r="K716" s="25">
        <v>0</v>
      </c>
      <c r="L716" s="25">
        <v>0</v>
      </c>
      <c r="M716" s="26">
        <f>IF(G716&gt;0,J716/G716,0)</f>
      </c>
    </row>
    <row r="717" ht="14.4" customHeight="1">
      <c r="A717" s="21" t="str">
        <v/>
      </c>
      <c r="B717" s="22" t="str">
        <v>2.3.1.5.3.1     ASEO, LIMPIEZA Y TOCADOR</v>
      </c>
      <c r="C717" s="23" t="str">
        <v/>
      </c>
      <c r="D717" s="24">
        <v>1862</v>
      </c>
      <c r="E717" s="24">
        <v>0</v>
      </c>
      <c r="F717" s="24">
        <v>1862</v>
      </c>
      <c r="G717" s="25">
        <v>0</v>
      </c>
      <c r="H717" s="25">
        <v>0</v>
      </c>
      <c r="I717" s="25">
        <v>0</v>
      </c>
      <c r="J717" s="25">
        <v>0</v>
      </c>
      <c r="K717" s="25">
        <v>0</v>
      </c>
      <c r="L717" s="25">
        <v>0</v>
      </c>
      <c r="M717" s="26">
        <f>IF(G717&gt;0,J717/G717,0)</f>
      </c>
    </row>
    <row r="718" ht="14.4" customHeight="1">
      <c r="A718" s="21" t="str">
        <v/>
      </c>
      <c r="B718" s="22" t="str">
        <v>2.3.1.6.1.3     DE CONSTRUCCION Y MAQUINAS</v>
      </c>
      <c r="C718" s="23" t="str">
        <v/>
      </c>
      <c r="D718" s="24">
        <v>595</v>
      </c>
      <c r="E718" s="24">
        <v>0</v>
      </c>
      <c r="F718" s="24">
        <v>595</v>
      </c>
      <c r="G718" s="25">
        <v>0</v>
      </c>
      <c r="H718" s="25">
        <v>0</v>
      </c>
      <c r="I718" s="25">
        <v>0</v>
      </c>
      <c r="J718" s="25">
        <v>0</v>
      </c>
      <c r="K718" s="25">
        <v>0</v>
      </c>
      <c r="L718" s="25">
        <v>0</v>
      </c>
      <c r="M718" s="26">
        <f>IF(G718&gt;0,J718/G718,0)</f>
      </c>
    </row>
    <row r="719" ht="14.4" customHeight="1">
      <c r="A719" s="21" t="str">
        <v/>
      </c>
      <c r="B719" s="22" t="str">
        <v>2.3.1.6.1.4     DE SEGURIDAD</v>
      </c>
      <c r="C719" s="23" t="str">
        <v/>
      </c>
      <c r="D719" s="24">
        <v>768</v>
      </c>
      <c r="E719" s="24">
        <v>0</v>
      </c>
      <c r="F719" s="24">
        <v>768</v>
      </c>
      <c r="G719" s="25">
        <v>0</v>
      </c>
      <c r="H719" s="25">
        <v>0</v>
      </c>
      <c r="I719" s="25">
        <v>0</v>
      </c>
      <c r="J719" s="25">
        <v>0</v>
      </c>
      <c r="K719" s="25">
        <v>0</v>
      </c>
      <c r="L719" s="25">
        <v>0</v>
      </c>
      <c r="M719" s="26">
        <f>IF(G719&gt;0,J719/G719,0)</f>
      </c>
    </row>
    <row r="720" ht="14.4" customHeight="1">
      <c r="A720" s="21" t="str">
        <v/>
      </c>
      <c r="B720" s="22" t="str">
        <v>2.3.1.99.1.1     HERRAMIENTAS</v>
      </c>
      <c r="C720" s="23" t="str">
        <v/>
      </c>
      <c r="D720" s="24">
        <v>3837</v>
      </c>
      <c r="E720" s="24">
        <v>0</v>
      </c>
      <c r="F720" s="24">
        <v>3837</v>
      </c>
      <c r="G720" s="25">
        <v>0</v>
      </c>
      <c r="H720" s="25">
        <v>0</v>
      </c>
      <c r="I720" s="25">
        <v>0</v>
      </c>
      <c r="J720" s="25">
        <v>0</v>
      </c>
      <c r="K720" s="25">
        <v>0</v>
      </c>
      <c r="L720" s="25">
        <v>0</v>
      </c>
      <c r="M720" s="26">
        <f>IF(G720&gt;0,J720/G720,0)</f>
      </c>
    </row>
    <row r="721" ht="14.4" customHeight="1">
      <c r="A721" s="21" t="str">
        <v/>
      </c>
      <c r="B721" s="22" t="str">
        <v>2.3.1.99.1.99     OTROS BIENES</v>
      </c>
      <c r="C721" s="23" t="str">
        <v/>
      </c>
      <c r="D721" s="24">
        <v>17539</v>
      </c>
      <c r="E721" s="24">
        <v>0</v>
      </c>
      <c r="F721" s="24">
        <v>17539</v>
      </c>
      <c r="G721" s="25">
        <v>0</v>
      </c>
      <c r="H721" s="25">
        <v>0</v>
      </c>
      <c r="I721" s="25">
        <v>0</v>
      </c>
      <c r="J721" s="25">
        <v>0</v>
      </c>
      <c r="K721" s="25">
        <v>0</v>
      </c>
      <c r="L721" s="25">
        <v>0</v>
      </c>
      <c r="M721" s="26">
        <f>IF(G721&gt;0,J721/G721,0)</f>
      </c>
    </row>
    <row r="722" ht="14.4" customHeight="1">
      <c r="A722" s="21" t="str">
        <v/>
      </c>
      <c r="B722" s="22" t="str">
        <v>2.3.2.7.11.99     SERVICIOS DIVERSOS</v>
      </c>
      <c r="C722" s="23" t="str">
        <v/>
      </c>
      <c r="D722" s="24">
        <v>108816</v>
      </c>
      <c r="E722" s="24">
        <v>0</v>
      </c>
      <c r="F722" s="24">
        <v>108816</v>
      </c>
      <c r="G722" s="25">
        <v>5475</v>
      </c>
      <c r="H722" s="25">
        <v>5457</v>
      </c>
      <c r="I722" s="25">
        <v>12657</v>
      </c>
      <c r="J722" s="25">
        <v>12657</v>
      </c>
      <c r="K722" s="25">
        <v>12657</v>
      </c>
      <c r="L722" s="25">
        <v>12657</v>
      </c>
      <c r="M722" s="26">
        <f>IF(G722&gt;0,J722/G722,0)</f>
      </c>
    </row>
    <row r="723" ht="14.4" customHeight="1">
      <c r="A723" s="15" t="str">
        <v>0073</v>
      </c>
      <c r="B723" s="16" t="str">
        <v>PAGO DE PENSIONES Y BENEFICIOS A CESANTES Y JUBILADOS</v>
      </c>
      <c r="C723" s="17" t="str">
        <v/>
      </c>
      <c r="D723" s="18">
        <v>397749</v>
      </c>
      <c r="E723" s="18">
        <v>0</v>
      </c>
      <c r="F723" s="18">
        <v>397749</v>
      </c>
      <c r="G723" s="19">
        <v>229944.86000000002</v>
      </c>
      <c r="H723" s="19">
        <v>47842.47</v>
      </c>
      <c r="I723" s="19">
        <v>63849.96</v>
      </c>
      <c r="J723" s="19">
        <v>63849.96</v>
      </c>
      <c r="K723" s="19">
        <v>63849.96</v>
      </c>
      <c r="L723" s="19">
        <v>63849.96</v>
      </c>
      <c r="M723" s="20">
        <f>IF(G723&gt;0,J723/G723,0)</f>
      </c>
    </row>
    <row r="724" ht="14.4" customHeight="1">
      <c r="A724" s="15" t="str">
        <v/>
      </c>
      <c r="B724" s="16" t="str">
        <v>07 FONDO DE COMPENSACION MUNICIPAL</v>
      </c>
      <c r="C724" s="17" t="str">
        <v/>
      </c>
      <c r="D724" s="18">
        <v>397749</v>
      </c>
      <c r="E724" s="18">
        <v>0</v>
      </c>
      <c r="F724" s="18">
        <v>397749</v>
      </c>
      <c r="G724" s="19">
        <v>229944.86000000002</v>
      </c>
      <c r="H724" s="19">
        <v>47842.47</v>
      </c>
      <c r="I724" s="19">
        <v>63849.96</v>
      </c>
      <c r="J724" s="19">
        <v>63849.96</v>
      </c>
      <c r="K724" s="19">
        <v>63849.96</v>
      </c>
      <c r="L724" s="19">
        <v>63849.96</v>
      </c>
      <c r="M724" s="20">
        <f>IF(G724&gt;0,J724/G724,0)</f>
      </c>
    </row>
    <row r="725" ht="14.4" customHeight="1">
      <c r="A725" s="21" t="str">
        <v/>
      </c>
      <c r="B725" s="22" t="str">
        <v>2.2.1.1.1.1     REGIMEN DE PENSIONES DL. 20530</v>
      </c>
      <c r="C725" s="23" t="str">
        <v/>
      </c>
      <c r="D725" s="24">
        <v>252410</v>
      </c>
      <c r="E725" s="24">
        <v>0</v>
      </c>
      <c r="F725" s="24">
        <v>252410</v>
      </c>
      <c r="G725" s="25">
        <v>192809.88</v>
      </c>
      <c r="H725" s="25">
        <v>32014.98</v>
      </c>
      <c r="I725" s="25">
        <v>48022.47</v>
      </c>
      <c r="J725" s="25">
        <v>48022.47</v>
      </c>
      <c r="K725" s="25">
        <v>48022.47</v>
      </c>
      <c r="L725" s="25">
        <v>48022.47</v>
      </c>
      <c r="M725" s="26">
        <f>IF(G725&gt;0,J725/G725,0)</f>
      </c>
    </row>
    <row r="726" ht="14.4" customHeight="1">
      <c r="A726" s="21" t="str">
        <v/>
      </c>
      <c r="B726" s="22" t="str">
        <v>2.2.1.1.2.1     ESCOLARIDAD, AGUINALDOS Y GRATIFICACIONES</v>
      </c>
      <c r="C726" s="23" t="str">
        <v/>
      </c>
      <c r="D726" s="24">
        <v>49068</v>
      </c>
      <c r="E726" s="24">
        <v>0</v>
      </c>
      <c r="F726" s="24">
        <v>49068</v>
      </c>
      <c r="G726" s="25">
        <v>37134.98</v>
      </c>
      <c r="H726" s="25">
        <v>15827.49</v>
      </c>
      <c r="I726" s="25">
        <v>15827.49</v>
      </c>
      <c r="J726" s="25">
        <v>15827.49</v>
      </c>
      <c r="K726" s="25">
        <v>15827.49</v>
      </c>
      <c r="L726" s="25">
        <v>15827.49</v>
      </c>
      <c r="M726" s="26">
        <f>IF(G726&gt;0,J726/G726,0)</f>
      </c>
    </row>
    <row r="727" ht="14.4" customHeight="1">
      <c r="A727" s="21" t="str">
        <v/>
      </c>
      <c r="B727" s="22" t="str">
        <v>2.2.1.1.2.99     OTROS BENEFICIOS</v>
      </c>
      <c r="C727" s="23" t="str">
        <v/>
      </c>
      <c r="D727" s="24">
        <v>96271</v>
      </c>
      <c r="E727" s="24">
        <v>0</v>
      </c>
      <c r="F727" s="24">
        <v>96271</v>
      </c>
      <c r="G727" s="25">
        <v>0</v>
      </c>
      <c r="H727" s="25">
        <v>0</v>
      </c>
      <c r="I727" s="25">
        <v>0</v>
      </c>
      <c r="J727" s="25">
        <v>0</v>
      </c>
      <c r="K727" s="25">
        <v>0</v>
      </c>
      <c r="L727" s="25">
        <v>0</v>
      </c>
      <c r="M727" s="26">
        <f>IF(G727&gt;0,J727/G727,0)</f>
      </c>
    </row>
    <row r="728" ht="14.4" customHeight="1">
      <c r="A728" s="15" t="str">
        <v>0074</v>
      </c>
      <c r="B728" s="16" t="str">
        <v>PLAN DE DESARROLLO URBANO</v>
      </c>
      <c r="C728" s="17" t="str">
        <v/>
      </c>
      <c r="D728" s="18">
        <v>4950</v>
      </c>
      <c r="E728" s="18">
        <v>0</v>
      </c>
      <c r="F728" s="18">
        <v>4950</v>
      </c>
      <c r="G728" s="19">
        <v>0</v>
      </c>
      <c r="H728" s="19">
        <v>0</v>
      </c>
      <c r="I728" s="19">
        <v>0</v>
      </c>
      <c r="J728" s="19">
        <v>0</v>
      </c>
      <c r="K728" s="19">
        <v>0</v>
      </c>
      <c r="L728" s="19">
        <v>0</v>
      </c>
      <c r="M728" s="20">
        <f>IF(G728&gt;0,J728/G728,0)</f>
      </c>
    </row>
    <row r="729" ht="14.4" customHeight="1">
      <c r="A729" s="15" t="str">
        <v/>
      </c>
      <c r="B729" s="16" t="str">
        <v>07 FONDO DE COMPENSACION MUNICIPAL</v>
      </c>
      <c r="C729" s="17" t="str">
        <v/>
      </c>
      <c r="D729" s="18">
        <v>4950</v>
      </c>
      <c r="E729" s="18">
        <v>0</v>
      </c>
      <c r="F729" s="18">
        <v>4950</v>
      </c>
      <c r="G729" s="19">
        <v>0</v>
      </c>
      <c r="H729" s="19">
        <v>0</v>
      </c>
      <c r="I729" s="19">
        <v>0</v>
      </c>
      <c r="J729" s="19">
        <v>0</v>
      </c>
      <c r="K729" s="19">
        <v>0</v>
      </c>
      <c r="L729" s="19">
        <v>0</v>
      </c>
      <c r="M729" s="20">
        <f>IF(G729&gt;0,J729/G729,0)</f>
      </c>
    </row>
    <row r="730" ht="14.4" customHeight="1">
      <c r="A730" s="21" t="str">
        <v/>
      </c>
      <c r="B730" s="22" t="str">
        <v>2.6.3.2.3.1     EQUIPOS COMPUTACIONALES Y PERIFERICOS</v>
      </c>
      <c r="C730" s="23" t="str">
        <v/>
      </c>
      <c r="D730" s="24">
        <v>4950</v>
      </c>
      <c r="E730" s="24">
        <v>0</v>
      </c>
      <c r="F730" s="24">
        <v>4950</v>
      </c>
      <c r="G730" s="25">
        <v>0</v>
      </c>
      <c r="H730" s="25">
        <v>0</v>
      </c>
      <c r="I730" s="25">
        <v>0</v>
      </c>
      <c r="J730" s="25">
        <v>0</v>
      </c>
      <c r="K730" s="25">
        <v>0</v>
      </c>
      <c r="L730" s="25">
        <v>0</v>
      </c>
      <c r="M730" s="26">
        <f>IF(G730&gt;0,J730/G730,0)</f>
      </c>
    </row>
    <row r="731" ht="14.4" customHeight="1">
      <c r="A731" s="15" t="str">
        <v>0075</v>
      </c>
      <c r="B731" s="16" t="str">
        <v>BRINDAR ASISTENCIA ALIMENTARIA</v>
      </c>
      <c r="C731" s="17" t="str">
        <v/>
      </c>
      <c r="D731" s="18">
        <v>636740</v>
      </c>
      <c r="E731" s="18">
        <v>103000</v>
      </c>
      <c r="F731" s="18">
        <v>739740</v>
      </c>
      <c r="G731" s="19">
        <v>714740</v>
      </c>
      <c r="H731" s="19">
        <v>0</v>
      </c>
      <c r="I731" s="19">
        <v>0</v>
      </c>
      <c r="J731" s="19">
        <v>0</v>
      </c>
      <c r="K731" s="19">
        <v>0</v>
      </c>
      <c r="L731" s="19">
        <v>0</v>
      </c>
      <c r="M731" s="20">
        <f>IF(G731&gt;0,J731/G731,0)</f>
      </c>
    </row>
    <row r="732" ht="14.4" customHeight="1">
      <c r="A732" s="15" t="str">
        <v/>
      </c>
      <c r="B732" s="16" t="str">
        <v>00 RECURSOS ORDINARIOS</v>
      </c>
      <c r="C732" s="17" t="str">
        <v/>
      </c>
      <c r="D732" s="18">
        <v>636740</v>
      </c>
      <c r="E732" s="18">
        <v>0</v>
      </c>
      <c r="F732" s="18">
        <v>636740</v>
      </c>
      <c r="G732" s="19">
        <v>636740</v>
      </c>
      <c r="H732" s="19">
        <v>0</v>
      </c>
      <c r="I732" s="19">
        <v>0</v>
      </c>
      <c r="J732" s="19">
        <v>0</v>
      </c>
      <c r="K732" s="19">
        <v>0</v>
      </c>
      <c r="L732" s="19">
        <v>0</v>
      </c>
      <c r="M732" s="20">
        <f>IF(G732&gt;0,J732/G732,0)</f>
      </c>
    </row>
    <row r="733" ht="14.4" customHeight="1">
      <c r="A733" s="21" t="str">
        <v/>
      </c>
      <c r="B733" s="22" t="str">
        <v>2.2.2.3.1.1     ALIMENTOS PARA PROGRAMAS SOCIALES</v>
      </c>
      <c r="C733" s="23" t="str">
        <v/>
      </c>
      <c r="D733" s="24">
        <v>636740</v>
      </c>
      <c r="E733" s="24">
        <v>0</v>
      </c>
      <c r="F733" s="24">
        <v>636740</v>
      </c>
      <c r="G733" s="25">
        <v>636740</v>
      </c>
      <c r="H733" s="25">
        <v>0</v>
      </c>
      <c r="I733" s="25">
        <v>0</v>
      </c>
      <c r="J733" s="25">
        <v>0</v>
      </c>
      <c r="K733" s="25">
        <v>0</v>
      </c>
      <c r="L733" s="25">
        <v>0</v>
      </c>
      <c r="M733" s="26">
        <f>IF(G733&gt;0,J733/G733,0)</f>
      </c>
    </row>
    <row r="734" ht="14.4" customHeight="1">
      <c r="A734" s="15" t="str">
        <v/>
      </c>
      <c r="B734" s="16" t="str">
        <v>09 RECURSOS DIRECTAMENTE RECAUDADOS</v>
      </c>
      <c r="C734" s="17" t="str">
        <v/>
      </c>
      <c r="D734" s="18">
        <v>0</v>
      </c>
      <c r="E734" s="18">
        <v>103000</v>
      </c>
      <c r="F734" s="18">
        <v>103000</v>
      </c>
      <c r="G734" s="19">
        <v>78000</v>
      </c>
      <c r="H734" s="19">
        <v>0</v>
      </c>
      <c r="I734" s="19">
        <v>0</v>
      </c>
      <c r="J734" s="19">
        <v>0</v>
      </c>
      <c r="K734" s="19">
        <v>0</v>
      </c>
      <c r="L734" s="19">
        <v>0</v>
      </c>
      <c r="M734" s="20">
        <f>IF(G734&gt;0,J734/G734,0)</f>
      </c>
    </row>
    <row r="735" ht="14.4" customHeight="1">
      <c r="A735" s="21" t="str">
        <v/>
      </c>
      <c r="B735" s="22" t="str">
        <v>2.2.2.3.1.1     ALIMENTOS PARA PROGRAMAS SOCIALES</v>
      </c>
      <c r="C735" s="23" t="str">
        <v/>
      </c>
      <c r="D735" s="24">
        <v>0</v>
      </c>
      <c r="E735" s="24">
        <v>78000</v>
      </c>
      <c r="F735" s="24">
        <v>78000</v>
      </c>
      <c r="G735" s="25">
        <v>78000</v>
      </c>
      <c r="H735" s="25">
        <v>0</v>
      </c>
      <c r="I735" s="25">
        <v>0</v>
      </c>
      <c r="J735" s="25">
        <v>0</v>
      </c>
      <c r="K735" s="25">
        <v>0</v>
      </c>
      <c r="L735" s="25">
        <v>0</v>
      </c>
      <c r="M735" s="26">
        <f>IF(G735&gt;0,J735/G735,0)</f>
      </c>
    </row>
    <row r="736" ht="14.4" customHeight="1">
      <c r="A736" s="21" t="str">
        <v/>
      </c>
      <c r="B736" s="22" t="str">
        <v>2.3.2.9.1.1     LOCACIÓN DE SERVICIOS REALIZADOS POR PERSONA NATURAL</v>
      </c>
      <c r="C736" s="23" t="str">
        <v/>
      </c>
      <c r="D736" s="24">
        <v>0</v>
      </c>
      <c r="E736" s="24">
        <v>25000</v>
      </c>
      <c r="F736" s="24">
        <v>25000</v>
      </c>
      <c r="G736" s="25">
        <v>0</v>
      </c>
      <c r="H736" s="25">
        <v>0</v>
      </c>
      <c r="I736" s="25">
        <v>0</v>
      </c>
      <c r="J736" s="25">
        <v>0</v>
      </c>
      <c r="K736" s="25">
        <v>0</v>
      </c>
      <c r="L736" s="25">
        <v>0</v>
      </c>
      <c r="M736" s="26">
        <f>IF(G736&gt;0,J736/G736,0)</f>
      </c>
    </row>
    <row r="737" ht="14.4" customHeight="1">
      <c r="A737" s="15" t="str">
        <v>0076</v>
      </c>
      <c r="B737" s="16" t="str">
        <v>BRINDAR ASISTENCIA ALIMENTARIA A COMEDORES</v>
      </c>
      <c r="C737" s="17" t="str">
        <v/>
      </c>
      <c r="D737" s="18">
        <v>562212</v>
      </c>
      <c r="E737" s="18">
        <v>0</v>
      </c>
      <c r="F737" s="18">
        <v>562212</v>
      </c>
      <c r="G737" s="19">
        <v>544011.5</v>
      </c>
      <c r="H737" s="19">
        <v>40300</v>
      </c>
      <c r="I737" s="19">
        <v>40300</v>
      </c>
      <c r="J737" s="19">
        <v>8800</v>
      </c>
      <c r="K737" s="19">
        <v>5300</v>
      </c>
      <c r="L737" s="19">
        <v>5300</v>
      </c>
      <c r="M737" s="20">
        <f>IF(G737&gt;0,J737/G737,0)</f>
      </c>
    </row>
    <row r="738" ht="14.4" customHeight="1">
      <c r="A738" s="15" t="str">
        <v/>
      </c>
      <c r="B738" s="16" t="str">
        <v>00 RECURSOS ORDINARIOS</v>
      </c>
      <c r="C738" s="17" t="str">
        <v/>
      </c>
      <c r="D738" s="18">
        <v>503712</v>
      </c>
      <c r="E738" s="18">
        <v>0</v>
      </c>
      <c r="F738" s="18">
        <v>503712</v>
      </c>
      <c r="G738" s="19">
        <v>503711.5</v>
      </c>
      <c r="H738" s="19">
        <v>0</v>
      </c>
      <c r="I738" s="19">
        <v>0</v>
      </c>
      <c r="J738" s="19">
        <v>0</v>
      </c>
      <c r="K738" s="19">
        <v>0</v>
      </c>
      <c r="L738" s="19">
        <v>0</v>
      </c>
      <c r="M738" s="20">
        <f>IF(G738&gt;0,J738/G738,0)</f>
      </c>
    </row>
    <row r="739" ht="14.4" customHeight="1">
      <c r="A739" s="21" t="str">
        <v/>
      </c>
      <c r="B739" s="22" t="str">
        <v>2.2.2.3.1.1     ALIMENTOS PARA PROGRAMAS SOCIALES</v>
      </c>
      <c r="C739" s="23" t="str">
        <v/>
      </c>
      <c r="D739" s="24">
        <v>503712</v>
      </c>
      <c r="E739" s="24">
        <v>0</v>
      </c>
      <c r="F739" s="24">
        <v>503712</v>
      </c>
      <c r="G739" s="25">
        <v>503711.5</v>
      </c>
      <c r="H739" s="25">
        <v>0</v>
      </c>
      <c r="I739" s="25">
        <v>0</v>
      </c>
      <c r="J739" s="25">
        <v>0</v>
      </c>
      <c r="K739" s="25">
        <v>0</v>
      </c>
      <c r="L739" s="25">
        <v>0</v>
      </c>
      <c r="M739" s="26">
        <f>IF(G739&gt;0,J739/G739,0)</f>
      </c>
    </row>
    <row r="740" ht="14.4" customHeight="1">
      <c r="A740" s="15" t="str">
        <v/>
      </c>
      <c r="B740" s="16" t="str">
        <v>07 FONDO DE COMPENSACION MUNICIPAL</v>
      </c>
      <c r="C740" s="17" t="str">
        <v/>
      </c>
      <c r="D740" s="18">
        <v>58500</v>
      </c>
      <c r="E740" s="18">
        <v>0</v>
      </c>
      <c r="F740" s="18">
        <v>58500</v>
      </c>
      <c r="G740" s="19">
        <v>40300</v>
      </c>
      <c r="H740" s="19">
        <v>40300</v>
      </c>
      <c r="I740" s="19">
        <v>40300</v>
      </c>
      <c r="J740" s="19">
        <v>8800</v>
      </c>
      <c r="K740" s="19">
        <v>5300</v>
      </c>
      <c r="L740" s="19">
        <v>5300</v>
      </c>
      <c r="M740" s="20">
        <f>IF(G740&gt;0,J740/G740,0)</f>
      </c>
    </row>
    <row r="741" ht="14.4" customHeight="1">
      <c r="A741" s="21" t="str">
        <v/>
      </c>
      <c r="B741" s="22" t="str">
        <v>2.3.2.5.1.1     DE EDIFICIOS Y ESTRUCTURAS</v>
      </c>
      <c r="C741" s="23" t="str">
        <v/>
      </c>
      <c r="D741" s="24">
        <v>38500</v>
      </c>
      <c r="E741" s="24">
        <v>0</v>
      </c>
      <c r="F741" s="24">
        <v>38500</v>
      </c>
      <c r="G741" s="25">
        <v>38500</v>
      </c>
      <c r="H741" s="25">
        <v>38500</v>
      </c>
      <c r="I741" s="25">
        <v>38500</v>
      </c>
      <c r="J741" s="25">
        <v>7000</v>
      </c>
      <c r="K741" s="25">
        <v>3500</v>
      </c>
      <c r="L741" s="25">
        <v>3500</v>
      </c>
      <c r="M741" s="26">
        <f>IF(G741&gt;0,J741/G741,0)</f>
      </c>
    </row>
    <row r="742" ht="14.4" customHeight="1">
      <c r="A742" s="21" t="str">
        <v/>
      </c>
      <c r="B742" s="22" t="str">
        <v>2.3.2.5.1.2     DE VEHICULOS</v>
      </c>
      <c r="C742" s="23" t="str">
        <v/>
      </c>
      <c r="D742" s="24">
        <v>20000</v>
      </c>
      <c r="E742" s="24">
        <v>0</v>
      </c>
      <c r="F742" s="24">
        <v>20000</v>
      </c>
      <c r="G742" s="25">
        <v>1800</v>
      </c>
      <c r="H742" s="25">
        <v>1800</v>
      </c>
      <c r="I742" s="25">
        <v>1800</v>
      </c>
      <c r="J742" s="25">
        <v>1800</v>
      </c>
      <c r="K742" s="25">
        <v>1800</v>
      </c>
      <c r="L742" s="25">
        <v>1800</v>
      </c>
      <c r="M742" s="26">
        <f>IF(G742&gt;0,J742/G742,0)</f>
      </c>
    </row>
    <row r="743" ht="14.4" customHeight="1">
      <c r="A743" s="15" t="str">
        <v>0077</v>
      </c>
      <c r="B743" s="16" t="str">
        <v>TRANSFERENCIA FINANCIERA PARA SUBSIDIOS A COMEDORES POPULARES</v>
      </c>
      <c r="C743" s="17" t="str">
        <v/>
      </c>
      <c r="D743" s="18">
        <v>77224</v>
      </c>
      <c r="E743" s="18">
        <v>0</v>
      </c>
      <c r="F743" s="18">
        <v>77224</v>
      </c>
      <c r="G743" s="19">
        <v>0</v>
      </c>
      <c r="H743" s="19">
        <v>0</v>
      </c>
      <c r="I743" s="19">
        <v>12870.68</v>
      </c>
      <c r="J743" s="19">
        <v>12870.68</v>
      </c>
      <c r="K743" s="19">
        <v>12870.68</v>
      </c>
      <c r="L743" s="19">
        <v>12870.68</v>
      </c>
      <c r="M743" s="20">
        <f>IF(G743&gt;0,J743/G743,0)</f>
      </c>
    </row>
    <row r="744" ht="14.4" customHeight="1">
      <c r="A744" s="15" t="str">
        <v/>
      </c>
      <c r="B744" s="16" t="str">
        <v>00 RECURSOS ORDINARIOS</v>
      </c>
      <c r="C744" s="17" t="str">
        <v/>
      </c>
      <c r="D744" s="18">
        <v>77224</v>
      </c>
      <c r="E744" s="18">
        <v>0</v>
      </c>
      <c r="F744" s="18">
        <v>77224</v>
      </c>
      <c r="G744" s="19">
        <v>0</v>
      </c>
      <c r="H744" s="19">
        <v>0</v>
      </c>
      <c r="I744" s="19">
        <v>12870.68</v>
      </c>
      <c r="J744" s="19">
        <v>12870.68</v>
      </c>
      <c r="K744" s="19">
        <v>12870.68</v>
      </c>
      <c r="L744" s="19">
        <v>12870.68</v>
      </c>
      <c r="M744" s="20">
        <f>IF(G744&gt;0,J744/G744,0)</f>
      </c>
    </row>
    <row r="745" ht="14.4" customHeight="1">
      <c r="A745" s="21" t="str">
        <v/>
      </c>
      <c r="B745" s="22" t="str">
        <v>2.5.2.1.1.99     A OTRAS ORGANIZACIONES</v>
      </c>
      <c r="C745" s="23" t="str">
        <v/>
      </c>
      <c r="D745" s="24">
        <v>77224</v>
      </c>
      <c r="E745" s="24">
        <v>0</v>
      </c>
      <c r="F745" s="24">
        <v>77224</v>
      </c>
      <c r="G745" s="25">
        <v>0</v>
      </c>
      <c r="H745" s="25">
        <v>0</v>
      </c>
      <c r="I745" s="25">
        <v>12870.68</v>
      </c>
      <c r="J745" s="25">
        <v>12870.68</v>
      </c>
      <c r="K745" s="25">
        <v>12870.68</v>
      </c>
      <c r="L745" s="25">
        <v>12870.68</v>
      </c>
      <c r="M745" s="26">
        <f>IF(G745&gt;0,J745/G745,0)</f>
      </c>
    </row>
    <row r="746" ht="14.4" customHeight="1">
      <c r="A746" s="15" t="str">
        <v>0078</v>
      </c>
      <c r="B746" s="16" t="str">
        <v>PROMOCION DEL COMERCIO</v>
      </c>
      <c r="C746" s="17" t="str">
        <v/>
      </c>
      <c r="D746" s="18">
        <v>56464</v>
      </c>
      <c r="E746" s="18">
        <v>0</v>
      </c>
      <c r="F746" s="18">
        <v>56464</v>
      </c>
      <c r="G746" s="19">
        <v>19746.4</v>
      </c>
      <c r="H746" s="19">
        <v>19351</v>
      </c>
      <c r="I746" s="19">
        <v>34331</v>
      </c>
      <c r="J746" s="19">
        <v>34331</v>
      </c>
      <c r="K746" s="19">
        <v>34211</v>
      </c>
      <c r="L746" s="19">
        <v>34211</v>
      </c>
      <c r="M746" s="20">
        <f>IF(G746&gt;0,J746/G746,0)</f>
      </c>
    </row>
    <row r="747" ht="14.4" customHeight="1">
      <c r="A747" s="15" t="str">
        <v/>
      </c>
      <c r="B747" s="16" t="str">
        <v>07 FONDO DE COMPENSACION MUNICIPAL</v>
      </c>
      <c r="C747" s="17" t="str">
        <v/>
      </c>
      <c r="D747" s="18">
        <v>56464</v>
      </c>
      <c r="E747" s="18">
        <v>0</v>
      </c>
      <c r="F747" s="18">
        <v>56464</v>
      </c>
      <c r="G747" s="19">
        <v>19746.4</v>
      </c>
      <c r="H747" s="19">
        <v>19351</v>
      </c>
      <c r="I747" s="19">
        <v>34331</v>
      </c>
      <c r="J747" s="19">
        <v>34331</v>
      </c>
      <c r="K747" s="19">
        <v>34211</v>
      </c>
      <c r="L747" s="19">
        <v>34211</v>
      </c>
      <c r="M747" s="20">
        <f>IF(G747&gt;0,J747/G747,0)</f>
      </c>
    </row>
    <row r="748" ht="14.4" customHeight="1">
      <c r="A748" s="21" t="str">
        <v/>
      </c>
      <c r="B748" s="22" t="str">
        <v>2.3.1.11.1.6     MATERIALES DE  ACONDICIONAMIENTO</v>
      </c>
      <c r="C748" s="23" t="str">
        <v/>
      </c>
      <c r="D748" s="24">
        <v>850</v>
      </c>
      <c r="E748" s="24">
        <v>0</v>
      </c>
      <c r="F748" s="24">
        <v>850</v>
      </c>
      <c r="G748" s="25">
        <v>0</v>
      </c>
      <c r="H748" s="25">
        <v>0</v>
      </c>
      <c r="I748" s="25">
        <v>0</v>
      </c>
      <c r="J748" s="25">
        <v>0</v>
      </c>
      <c r="K748" s="25">
        <v>0</v>
      </c>
      <c r="L748" s="25">
        <v>0</v>
      </c>
      <c r="M748" s="26">
        <f>IF(G748&gt;0,J748/G748,0)</f>
      </c>
    </row>
    <row r="749" ht="14.4" customHeight="1">
      <c r="A749" s="21" t="str">
        <v/>
      </c>
      <c r="B749" s="22" t="str">
        <v>2.3.1.5.1.1     REPUESTOS Y ACCESORIOS</v>
      </c>
      <c r="C749" s="23" t="str">
        <v/>
      </c>
      <c r="D749" s="24">
        <v>2500</v>
      </c>
      <c r="E749" s="24">
        <v>0</v>
      </c>
      <c r="F749" s="24">
        <v>2500</v>
      </c>
      <c r="G749" s="25">
        <v>0</v>
      </c>
      <c r="H749" s="25">
        <v>0</v>
      </c>
      <c r="I749" s="25">
        <v>0</v>
      </c>
      <c r="J749" s="25">
        <v>0</v>
      </c>
      <c r="K749" s="25">
        <v>0</v>
      </c>
      <c r="L749" s="25">
        <v>0</v>
      </c>
      <c r="M749" s="26">
        <f>IF(G749&gt;0,J749/G749,0)</f>
      </c>
    </row>
    <row r="750" ht="14.4" customHeight="1">
      <c r="A750" s="21" t="str">
        <v/>
      </c>
      <c r="B750" s="22" t="str">
        <v>2.3.1.5.3.1     ASEO, LIMPIEZA Y TOCADOR</v>
      </c>
      <c r="C750" s="23" t="str">
        <v/>
      </c>
      <c r="D750" s="24">
        <v>15941</v>
      </c>
      <c r="E750" s="24">
        <v>0</v>
      </c>
      <c r="F750" s="24">
        <v>15941</v>
      </c>
      <c r="G750" s="25">
        <v>15941</v>
      </c>
      <c r="H750" s="25">
        <v>15941</v>
      </c>
      <c r="I750" s="25">
        <v>15941</v>
      </c>
      <c r="J750" s="25">
        <v>15941</v>
      </c>
      <c r="K750" s="25">
        <v>15941</v>
      </c>
      <c r="L750" s="25">
        <v>15941</v>
      </c>
      <c r="M750" s="26">
        <f>IF(G750&gt;0,J750/G750,0)</f>
      </c>
    </row>
    <row r="751" ht="14.4" customHeight="1">
      <c r="A751" s="21" t="str">
        <v/>
      </c>
      <c r="B751" s="22" t="str">
        <v>2.3.1.5.4.1     ELECTRICIDAD, ILUMINACION Y ELECTRONICA</v>
      </c>
      <c r="C751" s="23" t="str">
        <v/>
      </c>
      <c r="D751" s="24">
        <v>6783</v>
      </c>
      <c r="E751" s="24">
        <v>0</v>
      </c>
      <c r="F751" s="24">
        <v>6783</v>
      </c>
      <c r="G751" s="25">
        <v>0</v>
      </c>
      <c r="H751" s="25">
        <v>0</v>
      </c>
      <c r="I751" s="25">
        <v>0</v>
      </c>
      <c r="J751" s="25">
        <v>0</v>
      </c>
      <c r="K751" s="25">
        <v>0</v>
      </c>
      <c r="L751" s="25">
        <v>0</v>
      </c>
      <c r="M751" s="26">
        <f>IF(G751&gt;0,J751/G751,0)</f>
      </c>
    </row>
    <row r="752" ht="14.4" customHeight="1">
      <c r="A752" s="21" t="str">
        <v/>
      </c>
      <c r="B752" s="22" t="str">
        <v>2.3.1.6.1.3     DE CONSTRUCCION Y MAQUINAS</v>
      </c>
      <c r="C752" s="23" t="str">
        <v/>
      </c>
      <c r="D752" s="24">
        <v>2530</v>
      </c>
      <c r="E752" s="24">
        <v>0</v>
      </c>
      <c r="F752" s="24">
        <v>2530</v>
      </c>
      <c r="G752" s="25">
        <v>0</v>
      </c>
      <c r="H752" s="25">
        <v>0</v>
      </c>
      <c r="I752" s="25">
        <v>2530</v>
      </c>
      <c r="J752" s="25">
        <v>2530</v>
      </c>
      <c r="K752" s="25">
        <v>2530</v>
      </c>
      <c r="L752" s="25">
        <v>2530</v>
      </c>
      <c r="M752" s="26">
        <f>IF(G752&gt;0,J752/G752,0)</f>
      </c>
    </row>
    <row r="753" ht="14.4" customHeight="1">
      <c r="A753" s="21" t="str">
        <v/>
      </c>
      <c r="B753" s="22" t="str">
        <v>2.3.1.6.1.4     DE SEGURIDAD</v>
      </c>
      <c r="C753" s="23" t="str">
        <v/>
      </c>
      <c r="D753" s="24">
        <v>525</v>
      </c>
      <c r="E753" s="24">
        <v>0</v>
      </c>
      <c r="F753" s="24">
        <v>525</v>
      </c>
      <c r="G753" s="25">
        <v>0</v>
      </c>
      <c r="H753" s="25">
        <v>0</v>
      </c>
      <c r="I753" s="25">
        <v>0</v>
      </c>
      <c r="J753" s="25">
        <v>0</v>
      </c>
      <c r="K753" s="25">
        <v>0</v>
      </c>
      <c r="L753" s="25">
        <v>0</v>
      </c>
      <c r="M753" s="26">
        <f>IF(G753&gt;0,J753/G753,0)</f>
      </c>
    </row>
    <row r="754" ht="14.4" customHeight="1">
      <c r="A754" s="21" t="str">
        <v/>
      </c>
      <c r="B754" s="22" t="str">
        <v>2.3.1.8.2.1     MATERIAL, INSUMOS, INSTRUMENTAL Y ACCESORIOS  MEDICOS, QUIRURGICOS, ODONTOLOGI</v>
      </c>
      <c r="C754" s="23" t="str">
        <v/>
      </c>
      <c r="D754" s="24">
        <v>500</v>
      </c>
      <c r="E754" s="24">
        <v>0</v>
      </c>
      <c r="F754" s="24">
        <v>500</v>
      </c>
      <c r="G754" s="25">
        <v>500</v>
      </c>
      <c r="H754" s="25">
        <v>500</v>
      </c>
      <c r="I754" s="25">
        <v>500</v>
      </c>
      <c r="J754" s="25">
        <v>500</v>
      </c>
      <c r="K754" s="25">
        <v>500</v>
      </c>
      <c r="L754" s="25">
        <v>500</v>
      </c>
      <c r="M754" s="26">
        <f>IF(G754&gt;0,J754/G754,0)</f>
      </c>
    </row>
    <row r="755" ht="14.4" customHeight="1">
      <c r="A755" s="21" t="str">
        <v/>
      </c>
      <c r="B755" s="22" t="str">
        <v>2.3.1.99.1.1     HERRAMIENTAS</v>
      </c>
      <c r="C755" s="23" t="str">
        <v/>
      </c>
      <c r="D755" s="24">
        <v>385</v>
      </c>
      <c r="E755" s="24">
        <v>0</v>
      </c>
      <c r="F755" s="24">
        <v>385</v>
      </c>
      <c r="G755" s="25">
        <v>0</v>
      </c>
      <c r="H755" s="25">
        <v>0</v>
      </c>
      <c r="I755" s="25">
        <v>0</v>
      </c>
      <c r="J755" s="25">
        <v>0</v>
      </c>
      <c r="K755" s="25">
        <v>0</v>
      </c>
      <c r="L755" s="25">
        <v>0</v>
      </c>
      <c r="M755" s="26">
        <f>IF(G755&gt;0,J755/G755,0)</f>
      </c>
    </row>
    <row r="756" ht="14.4" customHeight="1">
      <c r="A756" s="21" t="str">
        <v/>
      </c>
      <c r="B756" s="22" t="str">
        <v>2.3.1.99.1.99     OTROS BIENES</v>
      </c>
      <c r="C756" s="23" t="str">
        <v/>
      </c>
      <c r="D756" s="24">
        <v>11450</v>
      </c>
      <c r="E756" s="24">
        <v>0</v>
      </c>
      <c r="F756" s="24">
        <v>11450</v>
      </c>
      <c r="G756" s="25">
        <v>0</v>
      </c>
      <c r="H756" s="25">
        <v>0</v>
      </c>
      <c r="I756" s="25">
        <v>11450</v>
      </c>
      <c r="J756" s="25">
        <v>11450</v>
      </c>
      <c r="K756" s="25">
        <v>11450</v>
      </c>
      <c r="L756" s="25">
        <v>11450</v>
      </c>
      <c r="M756" s="26">
        <f>IF(G756&gt;0,J756/G756,0)</f>
      </c>
    </row>
    <row r="757" ht="14.4" customHeight="1">
      <c r="A757" s="21" t="str">
        <v/>
      </c>
      <c r="B757" s="22" t="str">
        <v>2.3.2.7.11.99     SERVICIOS DIVERSOS</v>
      </c>
      <c r="C757" s="23" t="str">
        <v/>
      </c>
      <c r="D757" s="24">
        <v>5000</v>
      </c>
      <c r="E757" s="24">
        <v>0</v>
      </c>
      <c r="F757" s="24">
        <v>5000</v>
      </c>
      <c r="G757" s="25">
        <v>3305.4</v>
      </c>
      <c r="H757" s="25">
        <v>2910</v>
      </c>
      <c r="I757" s="25">
        <v>3910</v>
      </c>
      <c r="J757" s="25">
        <v>3910</v>
      </c>
      <c r="K757" s="25">
        <v>3790</v>
      </c>
      <c r="L757" s="25">
        <v>3790</v>
      </c>
      <c r="M757" s="26">
        <f>IF(G757&gt;0,J757/G757,0)</f>
      </c>
    </row>
    <row r="758" ht="14.4" customHeight="1">
      <c r="A758" s="21" t="str">
        <v/>
      </c>
      <c r="B758" s="22" t="str">
        <v>2.6.3.2.1.2     MOBILIARIO</v>
      </c>
      <c r="C758" s="23" t="str">
        <v/>
      </c>
      <c r="D758" s="24">
        <v>3500</v>
      </c>
      <c r="E758" s="24">
        <v>0</v>
      </c>
      <c r="F758" s="24">
        <v>3500</v>
      </c>
      <c r="G758" s="25">
        <v>0</v>
      </c>
      <c r="H758" s="25">
        <v>0</v>
      </c>
      <c r="I758" s="25">
        <v>0</v>
      </c>
      <c r="J758" s="25">
        <v>0</v>
      </c>
      <c r="K758" s="25">
        <v>0</v>
      </c>
      <c r="L758" s="25">
        <v>0</v>
      </c>
      <c r="M758" s="26">
        <f>IF(G758&gt;0,J758/G758,0)</f>
      </c>
    </row>
    <row r="759" ht="14.4" customHeight="1">
      <c r="A759" s="21" t="str">
        <v/>
      </c>
      <c r="B759" s="22" t="str">
        <v>2.6.3.2.3.3     EQUIPOS DE TELECOMUNICACIONES</v>
      </c>
      <c r="C759" s="23" t="str">
        <v/>
      </c>
      <c r="D759" s="24">
        <v>6500</v>
      </c>
      <c r="E759" s="24">
        <v>0</v>
      </c>
      <c r="F759" s="24">
        <v>6500</v>
      </c>
      <c r="G759" s="25">
        <v>0</v>
      </c>
      <c r="H759" s="25">
        <v>0</v>
      </c>
      <c r="I759" s="25">
        <v>0</v>
      </c>
      <c r="J759" s="25">
        <v>0</v>
      </c>
      <c r="K759" s="25">
        <v>0</v>
      </c>
      <c r="L759" s="25">
        <v>0</v>
      </c>
      <c r="M759" s="26">
        <f>IF(G759&gt;0,J759/G759,0)</f>
      </c>
    </row>
    <row r="760" ht="14.4" customHeight="1">
      <c r="A760" s="15" t="str">
        <v>0079</v>
      </c>
      <c r="B760" s="16" t="str">
        <v>PROMOCION E INCENTIVO DE LAS ACTIVIDADES ARTISTICAS Y CULTURALES</v>
      </c>
      <c r="C760" s="17" t="str">
        <v/>
      </c>
      <c r="D760" s="18">
        <v>816097</v>
      </c>
      <c r="E760" s="18">
        <v>-205000</v>
      </c>
      <c r="F760" s="18">
        <v>611097</v>
      </c>
      <c r="G760" s="19">
        <v>307786.3</v>
      </c>
      <c r="H760" s="19">
        <v>302786.3</v>
      </c>
      <c r="I760" s="19">
        <v>342301.3</v>
      </c>
      <c r="J760" s="19">
        <v>339291.3</v>
      </c>
      <c r="K760" s="19">
        <v>332263.3</v>
      </c>
      <c r="L760" s="19">
        <v>332263.3</v>
      </c>
      <c r="M760" s="20">
        <f>IF(G760&gt;0,J760/G760,0)</f>
      </c>
    </row>
    <row r="761" ht="14.4" customHeight="1">
      <c r="A761" s="15" t="str">
        <v/>
      </c>
      <c r="B761" s="16" t="str">
        <v>07 FONDO DE COMPENSACION MUNICIPAL</v>
      </c>
      <c r="C761" s="17" t="str">
        <v/>
      </c>
      <c r="D761" s="18">
        <v>321000</v>
      </c>
      <c r="E761" s="18">
        <v>0</v>
      </c>
      <c r="F761" s="18">
        <v>321000</v>
      </c>
      <c r="G761" s="19">
        <v>209760</v>
      </c>
      <c r="H761" s="19">
        <v>204760</v>
      </c>
      <c r="I761" s="19">
        <v>244275</v>
      </c>
      <c r="J761" s="19">
        <v>244275</v>
      </c>
      <c r="K761" s="19">
        <v>244275</v>
      </c>
      <c r="L761" s="19">
        <v>244275</v>
      </c>
      <c r="M761" s="20">
        <f>IF(G761&gt;0,J761/G761,0)</f>
      </c>
    </row>
    <row r="762" ht="14.4" customHeight="1">
      <c r="A762" s="21" t="str">
        <v/>
      </c>
      <c r="B762" s="22" t="str">
        <v>2.3.2.7.11.99     SERVICIOS DIVERSOS</v>
      </c>
      <c r="C762" s="23" t="str">
        <v/>
      </c>
      <c r="D762" s="24">
        <v>321000</v>
      </c>
      <c r="E762" s="24">
        <v>0</v>
      </c>
      <c r="F762" s="24">
        <v>321000</v>
      </c>
      <c r="G762" s="25">
        <v>209760</v>
      </c>
      <c r="H762" s="25">
        <v>204760</v>
      </c>
      <c r="I762" s="25">
        <v>244275</v>
      </c>
      <c r="J762" s="25">
        <v>244275</v>
      </c>
      <c r="K762" s="25">
        <v>244275</v>
      </c>
      <c r="L762" s="25">
        <v>244275</v>
      </c>
      <c r="M762" s="26">
        <f>IF(G762&gt;0,J762/G762,0)</f>
      </c>
    </row>
    <row r="763" ht="14.4" customHeight="1">
      <c r="A763" s="15" t="str">
        <v/>
      </c>
      <c r="B763" s="16" t="str">
        <v>09 RECURSOS DIRECTAMENTE RECAUDADOS</v>
      </c>
      <c r="C763" s="17" t="str">
        <v/>
      </c>
      <c r="D763" s="18">
        <v>495097</v>
      </c>
      <c r="E763" s="18">
        <v>-205000</v>
      </c>
      <c r="F763" s="18">
        <v>290097</v>
      </c>
      <c r="G763" s="19">
        <v>98026.3</v>
      </c>
      <c r="H763" s="19">
        <v>98026.3</v>
      </c>
      <c r="I763" s="19">
        <v>98026.3</v>
      </c>
      <c r="J763" s="19">
        <v>95016.3</v>
      </c>
      <c r="K763" s="19">
        <v>87988.3</v>
      </c>
      <c r="L763" s="19">
        <v>87988.3</v>
      </c>
      <c r="M763" s="20">
        <f>IF(G763&gt;0,J763/G763,0)</f>
      </c>
    </row>
    <row r="764" ht="14.4" customHeight="1">
      <c r="A764" s="21" t="str">
        <v/>
      </c>
      <c r="B764" s="22" t="str">
        <v>2.3.1.1.1.1     ALIMENTOS Y BEBIDAS PARA CONSUMO HUMANO</v>
      </c>
      <c r="C764" s="23" t="str">
        <v/>
      </c>
      <c r="D764" s="24">
        <v>100000</v>
      </c>
      <c r="E764" s="24">
        <v>-100000</v>
      </c>
      <c r="F764" s="24">
        <v>0</v>
      </c>
      <c r="G764" s="25">
        <v>0</v>
      </c>
      <c r="H764" s="25">
        <v>0</v>
      </c>
      <c r="I764" s="25">
        <v>0</v>
      </c>
      <c r="J764" s="25">
        <v>0</v>
      </c>
      <c r="K764" s="25">
        <v>0</v>
      </c>
      <c r="L764" s="25">
        <v>0</v>
      </c>
      <c r="M764" s="26">
        <f>IF(G764&gt;0,J764/G764,0)</f>
      </c>
    </row>
    <row r="765" ht="14.4" customHeight="1">
      <c r="A765" s="21" t="str">
        <v/>
      </c>
      <c r="B765" s="22" t="str">
        <v>2.3.1.2.1.1     VESTUARIO, ACCESORIOS Y PRENDAS DIVERSAS</v>
      </c>
      <c r="C765" s="23" t="str">
        <v/>
      </c>
      <c r="D765" s="24">
        <v>5000</v>
      </c>
      <c r="E765" s="24">
        <v>0</v>
      </c>
      <c r="F765" s="24">
        <v>5000</v>
      </c>
      <c r="G765" s="25">
        <v>0</v>
      </c>
      <c r="H765" s="25">
        <v>0</v>
      </c>
      <c r="I765" s="25">
        <v>0</v>
      </c>
      <c r="J765" s="25">
        <v>0</v>
      </c>
      <c r="K765" s="25">
        <v>0</v>
      </c>
      <c r="L765" s="25">
        <v>0</v>
      </c>
      <c r="M765" s="26">
        <f>IF(G765&gt;0,J765/G765,0)</f>
      </c>
    </row>
    <row r="766" ht="14.4" customHeight="1">
      <c r="A766" s="21" t="str">
        <v/>
      </c>
      <c r="B766" s="22" t="str">
        <v>2.3.1.5.3.2     DE COCINA, COMEDOR Y CAFETERIA</v>
      </c>
      <c r="C766" s="23" t="str">
        <v/>
      </c>
      <c r="D766" s="24">
        <v>30000</v>
      </c>
      <c r="E766" s="24">
        <v>-30000</v>
      </c>
      <c r="F766" s="24">
        <v>0</v>
      </c>
      <c r="G766" s="25">
        <v>0</v>
      </c>
      <c r="H766" s="25">
        <v>0</v>
      </c>
      <c r="I766" s="25">
        <v>0</v>
      </c>
      <c r="J766" s="25">
        <v>0</v>
      </c>
      <c r="K766" s="25">
        <v>0</v>
      </c>
      <c r="L766" s="25">
        <v>0</v>
      </c>
      <c r="M766" s="26">
        <f>IF(G766&gt;0,J766/G766,0)</f>
      </c>
    </row>
    <row r="767" ht="14.4" customHeight="1">
      <c r="A767" s="21" t="str">
        <v/>
      </c>
      <c r="B767" s="22" t="str">
        <v>2.3.1.99.1.4     SIMBOLOS, DISTINTIVOS Y CONDECORACIONES</v>
      </c>
      <c r="C767" s="23" t="str">
        <v/>
      </c>
      <c r="D767" s="24">
        <v>5000</v>
      </c>
      <c r="E767" s="24">
        <v>0</v>
      </c>
      <c r="F767" s="24">
        <v>5000</v>
      </c>
      <c r="G767" s="25">
        <v>0</v>
      </c>
      <c r="H767" s="25">
        <v>0</v>
      </c>
      <c r="I767" s="25">
        <v>0</v>
      </c>
      <c r="J767" s="25">
        <v>0</v>
      </c>
      <c r="K767" s="25">
        <v>0</v>
      </c>
      <c r="L767" s="25">
        <v>0</v>
      </c>
      <c r="M767" s="26">
        <f>IF(G767&gt;0,J767/G767,0)</f>
      </c>
    </row>
    <row r="768" ht="14.4" customHeight="1">
      <c r="A768" s="21" t="str">
        <v/>
      </c>
      <c r="B768" s="22" t="str">
        <v>2.3.1.99.1.99     OTROS BIENES</v>
      </c>
      <c r="C768" s="23" t="str">
        <v/>
      </c>
      <c r="D768" s="24">
        <v>90000</v>
      </c>
      <c r="E768" s="24">
        <v>-75000</v>
      </c>
      <c r="F768" s="24">
        <v>15000</v>
      </c>
      <c r="G768" s="25">
        <v>0</v>
      </c>
      <c r="H768" s="25">
        <v>0</v>
      </c>
      <c r="I768" s="25">
        <v>0</v>
      </c>
      <c r="J768" s="25">
        <v>0</v>
      </c>
      <c r="K768" s="25">
        <v>0</v>
      </c>
      <c r="L768" s="25">
        <v>0</v>
      </c>
      <c r="M768" s="26">
        <f>IF(G768&gt;0,J768/G768,0)</f>
      </c>
    </row>
    <row r="769" ht="14.4" customHeight="1">
      <c r="A769" s="21" t="str">
        <v/>
      </c>
      <c r="B769" s="22" t="str">
        <v>2.3.2.7.10.2     ATENCIONES OFICIALES Y CELEBRACIONES INSTITUCIONALES</v>
      </c>
      <c r="C769" s="23" t="str">
        <v/>
      </c>
      <c r="D769" s="24">
        <v>15000</v>
      </c>
      <c r="E769" s="24">
        <v>0</v>
      </c>
      <c r="F769" s="24">
        <v>15000</v>
      </c>
      <c r="G769" s="25">
        <v>0</v>
      </c>
      <c r="H769" s="25">
        <v>0</v>
      </c>
      <c r="I769" s="25">
        <v>0</v>
      </c>
      <c r="J769" s="25">
        <v>0</v>
      </c>
      <c r="K769" s="25">
        <v>0</v>
      </c>
      <c r="L769" s="25">
        <v>0</v>
      </c>
      <c r="M769" s="26">
        <f>IF(G769&gt;0,J769/G769,0)</f>
      </c>
    </row>
    <row r="770" ht="14.4" customHeight="1">
      <c r="A770" s="21" t="str">
        <v/>
      </c>
      <c r="B770" s="22" t="str">
        <v>2.3.2.7.11.6     SERVICIO DE IMPRESIONES, ENCUADERNACION Y EMPASTADO</v>
      </c>
      <c r="C770" s="23" t="str">
        <v/>
      </c>
      <c r="D770" s="24">
        <v>10000</v>
      </c>
      <c r="E770" s="24">
        <v>0</v>
      </c>
      <c r="F770" s="24">
        <v>10000</v>
      </c>
      <c r="G770" s="25">
        <v>0</v>
      </c>
      <c r="H770" s="25">
        <v>0</v>
      </c>
      <c r="I770" s="25">
        <v>0</v>
      </c>
      <c r="J770" s="25">
        <v>0</v>
      </c>
      <c r="K770" s="25">
        <v>0</v>
      </c>
      <c r="L770" s="25">
        <v>0</v>
      </c>
      <c r="M770" s="26">
        <f>IF(G770&gt;0,J770/G770,0)</f>
      </c>
    </row>
    <row r="771" ht="14.4" customHeight="1">
      <c r="A771" s="21" t="str">
        <v/>
      </c>
      <c r="B771" s="22" t="str">
        <v>2.3.2.7.11.99     SERVICIOS DIVERSOS</v>
      </c>
      <c r="C771" s="23" t="str">
        <v/>
      </c>
      <c r="D771" s="24">
        <v>240097</v>
      </c>
      <c r="E771" s="24">
        <v>0</v>
      </c>
      <c r="F771" s="24">
        <v>240097</v>
      </c>
      <c r="G771" s="25">
        <v>98026.3</v>
      </c>
      <c r="H771" s="25">
        <v>98026.3</v>
      </c>
      <c r="I771" s="25">
        <v>98026.3</v>
      </c>
      <c r="J771" s="25">
        <v>95016.3</v>
      </c>
      <c r="K771" s="25">
        <v>87988.3</v>
      </c>
      <c r="L771" s="25">
        <v>87988.3</v>
      </c>
      <c r="M771" s="26">
        <f>IF(G771&gt;0,J771/G771,0)</f>
      </c>
    </row>
    <row r="772" ht="14.4" customHeight="1">
      <c r="A772" s="15" t="str">
        <v>0080</v>
      </c>
      <c r="B772" s="16" t="str">
        <v>SEGUIMIENTO DE FISCALIZACION DE LOS CONSEJOS REGIONALES Y CONCEJOS MUNICIPALES A NIVEL NACIONAL</v>
      </c>
      <c r="C772" s="17" t="str">
        <v/>
      </c>
      <c r="D772" s="18">
        <v>630536</v>
      </c>
      <c r="E772" s="18">
        <v>-248250</v>
      </c>
      <c r="F772" s="18">
        <v>382286</v>
      </c>
      <c r="G772" s="19">
        <v>212350</v>
      </c>
      <c r="H772" s="19">
        <v>140700</v>
      </c>
      <c r="I772" s="19">
        <v>213610</v>
      </c>
      <c r="J772" s="19">
        <v>77260</v>
      </c>
      <c r="K772" s="19">
        <v>77260</v>
      </c>
      <c r="L772" s="19">
        <v>77260</v>
      </c>
      <c r="M772" s="20">
        <f>IF(G772&gt;0,J772/G772,0)</f>
      </c>
    </row>
    <row r="773" ht="14.4" customHeight="1">
      <c r="A773" s="15" t="str">
        <v/>
      </c>
      <c r="B773" s="16" t="str">
        <v>07 FONDO DE COMPENSACION MUNICIPAL</v>
      </c>
      <c r="C773" s="17" t="str">
        <v/>
      </c>
      <c r="D773" s="18">
        <v>630536</v>
      </c>
      <c r="E773" s="18">
        <v>-248250</v>
      </c>
      <c r="F773" s="18">
        <v>382286</v>
      </c>
      <c r="G773" s="19">
        <v>212350</v>
      </c>
      <c r="H773" s="19">
        <v>140700</v>
      </c>
      <c r="I773" s="19">
        <v>213610</v>
      </c>
      <c r="J773" s="19">
        <v>77260</v>
      </c>
      <c r="K773" s="19">
        <v>77260</v>
      </c>
      <c r="L773" s="19">
        <v>77260</v>
      </c>
      <c r="M773" s="20">
        <f>IF(G773&gt;0,J773/G773,0)</f>
      </c>
    </row>
    <row r="774" ht="14.4" customHeight="1">
      <c r="A774" s="21" t="str">
        <v/>
      </c>
      <c r="B774" s="22" t="str">
        <v>2.3.1.1.1.1     ALIMENTOS Y BEBIDAS PARA CONSUMO HUMANO</v>
      </c>
      <c r="C774" s="23" t="str">
        <v/>
      </c>
      <c r="D774" s="24">
        <v>100000</v>
      </c>
      <c r="E774" s="24">
        <v>-100000</v>
      </c>
      <c r="F774" s="24">
        <v>0</v>
      </c>
      <c r="G774" s="25">
        <v>0</v>
      </c>
      <c r="H774" s="25">
        <v>0</v>
      </c>
      <c r="I774" s="25">
        <v>0</v>
      </c>
      <c r="J774" s="25">
        <v>0</v>
      </c>
      <c r="K774" s="25">
        <v>0</v>
      </c>
      <c r="L774" s="25">
        <v>0</v>
      </c>
      <c r="M774" s="26">
        <f>IF(G774&gt;0,J774/G774,0)</f>
      </c>
    </row>
    <row r="775" ht="14.4" customHeight="1">
      <c r="A775" s="21" t="str">
        <v/>
      </c>
      <c r="B775" s="22" t="str">
        <v>2.3.1.3.1.1     COMBUSTIBLES Y CARBURANTES</v>
      </c>
      <c r="C775" s="23" t="str">
        <v/>
      </c>
      <c r="D775" s="24">
        <v>100000</v>
      </c>
      <c r="E775" s="24">
        <v>-100000</v>
      </c>
      <c r="F775" s="24">
        <v>0</v>
      </c>
      <c r="G775" s="25">
        <v>0</v>
      </c>
      <c r="H775" s="25">
        <v>0</v>
      </c>
      <c r="I775" s="25">
        <v>0</v>
      </c>
      <c r="J775" s="25">
        <v>0</v>
      </c>
      <c r="K775" s="25">
        <v>0</v>
      </c>
      <c r="L775" s="25">
        <v>0</v>
      </c>
      <c r="M775" s="26">
        <f>IF(G775&gt;0,J775/G775,0)</f>
      </c>
    </row>
    <row r="776" ht="14.4" customHeight="1">
      <c r="A776" s="21" t="str">
        <v/>
      </c>
      <c r="B776" s="22" t="str">
        <v>2.3.1.5.1.2     PAPELERIA EN GENERAL, UTILES Y MATERIALES DE OFICINA</v>
      </c>
      <c r="C776" s="23" t="str">
        <v/>
      </c>
      <c r="D776" s="24">
        <v>10000</v>
      </c>
      <c r="E776" s="24">
        <v>0</v>
      </c>
      <c r="F776" s="24">
        <v>10000</v>
      </c>
      <c r="G776" s="25">
        <v>0</v>
      </c>
      <c r="H776" s="25">
        <v>0</v>
      </c>
      <c r="I776" s="25">
        <v>0</v>
      </c>
      <c r="J776" s="25">
        <v>0</v>
      </c>
      <c r="K776" s="25">
        <v>0</v>
      </c>
      <c r="L776" s="25">
        <v>0</v>
      </c>
      <c r="M776" s="26">
        <f>IF(G776&gt;0,J776/G776,0)</f>
      </c>
    </row>
    <row r="777" ht="14.4" customHeight="1">
      <c r="A777" s="21" t="str">
        <v/>
      </c>
      <c r="B777" s="22" t="str">
        <v>2.3.1.9.1.1     LIBROS, TEXTOS Y OTROS MATERIALES IMPRESOS</v>
      </c>
      <c r="C777" s="23" t="str">
        <v/>
      </c>
      <c r="D777" s="24">
        <v>50000</v>
      </c>
      <c r="E777" s="24">
        <v>-25000</v>
      </c>
      <c r="F777" s="24">
        <v>25000</v>
      </c>
      <c r="G777" s="25">
        <v>0</v>
      </c>
      <c r="H777" s="25">
        <v>0</v>
      </c>
      <c r="I777" s="25">
        <v>0</v>
      </c>
      <c r="J777" s="25">
        <v>0</v>
      </c>
      <c r="K777" s="25">
        <v>0</v>
      </c>
      <c r="L777" s="25">
        <v>0</v>
      </c>
      <c r="M777" s="26">
        <f>IF(G777&gt;0,J777/G777,0)</f>
      </c>
    </row>
    <row r="778" ht="14.4" customHeight="1">
      <c r="A778" s="21" t="str">
        <v/>
      </c>
      <c r="B778" s="22" t="str">
        <v>2.3.2.1.1.1     PASAJES Y GASTOS DE TRANSPORTE</v>
      </c>
      <c r="C778" s="23" t="str">
        <v/>
      </c>
      <c r="D778" s="24">
        <v>20536</v>
      </c>
      <c r="E778" s="24">
        <v>-10000</v>
      </c>
      <c r="F778" s="24">
        <v>10536</v>
      </c>
      <c r="G778" s="25">
        <v>0</v>
      </c>
      <c r="H778" s="25">
        <v>0</v>
      </c>
      <c r="I778" s="25">
        <v>0</v>
      </c>
      <c r="J778" s="25">
        <v>0</v>
      </c>
      <c r="K778" s="25">
        <v>0</v>
      </c>
      <c r="L778" s="25">
        <v>0</v>
      </c>
      <c r="M778" s="26">
        <f>IF(G778&gt;0,J778/G778,0)</f>
      </c>
    </row>
    <row r="779" ht="14.4" customHeight="1">
      <c r="A779" s="21" t="str">
        <v/>
      </c>
      <c r="B779" s="22" t="str">
        <v>2.3.2.1.1.2     VIATICOS Y ASIGNACIONES POR COMISION DE SERVICIO</v>
      </c>
      <c r="C779" s="23" t="str">
        <v/>
      </c>
      <c r="D779" s="24">
        <v>100000</v>
      </c>
      <c r="E779" s="24">
        <v>-90000</v>
      </c>
      <c r="F779" s="24">
        <v>10000</v>
      </c>
      <c r="G779" s="25">
        <v>0</v>
      </c>
      <c r="H779" s="25">
        <v>0</v>
      </c>
      <c r="I779" s="25">
        <v>0</v>
      </c>
      <c r="J779" s="25">
        <v>0</v>
      </c>
      <c r="K779" s="25">
        <v>0</v>
      </c>
      <c r="L779" s="25">
        <v>0</v>
      </c>
      <c r="M779" s="26">
        <f>IF(G779&gt;0,J779/G779,0)</f>
      </c>
    </row>
    <row r="780" ht="14.4" customHeight="1">
      <c r="A780" s="21" t="str">
        <v/>
      </c>
      <c r="B780" s="22" t="str">
        <v>2.3.2.5.1.2     DE VEHICULOS</v>
      </c>
      <c r="C780" s="23" t="str">
        <v/>
      </c>
      <c r="D780" s="24">
        <v>100000</v>
      </c>
      <c r="E780" s="24">
        <v>-13250</v>
      </c>
      <c r="F780" s="24">
        <v>86750</v>
      </c>
      <c r="G780" s="25">
        <v>46750</v>
      </c>
      <c r="H780" s="25">
        <v>46750</v>
      </c>
      <c r="I780" s="25">
        <v>46750</v>
      </c>
      <c r="J780" s="25">
        <v>46750</v>
      </c>
      <c r="K780" s="25">
        <v>46750</v>
      </c>
      <c r="L780" s="25">
        <v>46750</v>
      </c>
      <c r="M780" s="26">
        <f>IF(G780&gt;0,J780/G780,0)</f>
      </c>
    </row>
    <row r="781" ht="14.4" customHeight="1">
      <c r="A781" s="21" t="str">
        <v/>
      </c>
      <c r="B781" s="22" t="str">
        <v>2.3.2.7.11.99     SERVICIOS DIVERSOS</v>
      </c>
      <c r="C781" s="23" t="str">
        <v/>
      </c>
      <c r="D781" s="24">
        <v>100000</v>
      </c>
      <c r="E781" s="24">
        <v>0</v>
      </c>
      <c r="F781" s="24">
        <v>100000</v>
      </c>
      <c r="G781" s="25">
        <v>77750</v>
      </c>
      <c r="H781" s="25">
        <v>49950</v>
      </c>
      <c r="I781" s="25">
        <v>79010</v>
      </c>
      <c r="J781" s="25">
        <v>30510</v>
      </c>
      <c r="K781" s="25">
        <v>30510</v>
      </c>
      <c r="L781" s="25">
        <v>30510</v>
      </c>
      <c r="M781" s="26">
        <f>IF(G781&gt;0,J781/G781,0)</f>
      </c>
    </row>
    <row r="782" ht="14.4" customHeight="1">
      <c r="A782" s="21" t="str">
        <v/>
      </c>
      <c r="B782" s="22" t="str">
        <v>2.3.2.7.14.98     OTROS SERVICIOS TÉCNICOS Y PROFESIONALES DESARROLLADOS POR PERSONAS NATURALES</v>
      </c>
      <c r="C782" s="23" t="str">
        <v/>
      </c>
      <c r="D782" s="24">
        <v>50000</v>
      </c>
      <c r="E782" s="24">
        <v>90000</v>
      </c>
      <c r="F782" s="24">
        <v>140000</v>
      </c>
      <c r="G782" s="25">
        <v>87850</v>
      </c>
      <c r="H782" s="25">
        <v>44000</v>
      </c>
      <c r="I782" s="25">
        <v>87850</v>
      </c>
      <c r="J782" s="25">
        <v>0</v>
      </c>
      <c r="K782" s="25">
        <v>0</v>
      </c>
      <c r="L782" s="25">
        <v>0</v>
      </c>
      <c r="M782" s="26">
        <f>IF(G782&gt;0,J782/G782,0)</f>
      </c>
    </row>
    <row r="783" ht="14.4" customHeight="1">
      <c r="A783" s="15" t="str">
        <v>0081</v>
      </c>
      <c r="B783" s="16" t="str">
        <v>TRANSFERENCIAS DE RECURSOS A LAS MUNICIPALIDADES DE CENTRO POBLADO</v>
      </c>
      <c r="C783" s="17" t="str">
        <v/>
      </c>
      <c r="D783" s="18">
        <v>1010300</v>
      </c>
      <c r="E783" s="18">
        <v>-36000</v>
      </c>
      <c r="F783" s="18">
        <v>974300</v>
      </c>
      <c r="G783" s="19">
        <v>876780</v>
      </c>
      <c r="H783" s="19">
        <v>159030</v>
      </c>
      <c r="I783" s="19">
        <v>248535</v>
      </c>
      <c r="J783" s="19">
        <v>248535</v>
      </c>
      <c r="K783" s="19">
        <v>248535</v>
      </c>
      <c r="L783" s="19">
        <v>248535</v>
      </c>
      <c r="M783" s="20">
        <f>IF(G783&gt;0,J783/G783,0)</f>
      </c>
    </row>
    <row r="784" ht="14.4" customHeight="1">
      <c r="A784" s="15" t="str">
        <v/>
      </c>
      <c r="B784" s="16" t="str">
        <v>07 FONDO DE COMPENSACION MUNICIPAL</v>
      </c>
      <c r="C784" s="17" t="str">
        <v/>
      </c>
      <c r="D784" s="18">
        <v>1010300</v>
      </c>
      <c r="E784" s="18">
        <v>-36000</v>
      </c>
      <c r="F784" s="18">
        <v>974300</v>
      </c>
      <c r="G784" s="19">
        <v>876780</v>
      </c>
      <c r="H784" s="19">
        <v>159030</v>
      </c>
      <c r="I784" s="19">
        <v>248535</v>
      </c>
      <c r="J784" s="19">
        <v>248535</v>
      </c>
      <c r="K784" s="19">
        <v>248535</v>
      </c>
      <c r="L784" s="19">
        <v>248535</v>
      </c>
      <c r="M784" s="20">
        <f>IF(G784&gt;0,J784/G784,0)</f>
      </c>
    </row>
    <row r="785" ht="14.4" customHeight="1">
      <c r="A785" s="21" t="str">
        <v/>
      </c>
      <c r="B785" s="22" t="str">
        <v>2.4.1.3.1.3     A OTRAS UNIDADES DEL GOBIERNO LOCAL</v>
      </c>
      <c r="C785" s="23" t="str">
        <v/>
      </c>
      <c r="D785" s="24">
        <v>1010300</v>
      </c>
      <c r="E785" s="24">
        <v>-36000</v>
      </c>
      <c r="F785" s="24">
        <v>974300</v>
      </c>
      <c r="G785" s="25">
        <v>876780</v>
      </c>
      <c r="H785" s="25">
        <v>159030</v>
      </c>
      <c r="I785" s="25">
        <v>248535</v>
      </c>
      <c r="J785" s="25">
        <v>248535</v>
      </c>
      <c r="K785" s="25">
        <v>248535</v>
      </c>
      <c r="L785" s="25">
        <v>248535</v>
      </c>
      <c r="M785" s="26">
        <f>IF(G785&gt;0,J785/G785,0)</f>
      </c>
    </row>
    <row r="786" ht="14.4" customHeight="1">
      <c r="A786" s="15" t="str">
        <v>0082</v>
      </c>
      <c r="B786" s="16" t="str">
        <v>TRANSFERENCIA FINANCIERA PARA MANTENIMIENTO RUTINARIO DE CAMINOS VECINALES</v>
      </c>
      <c r="C786" s="17" t="str">
        <v/>
      </c>
      <c r="D786" s="18">
        <v>108000</v>
      </c>
      <c r="E786" s="18">
        <v>36000</v>
      </c>
      <c r="F786" s="18">
        <v>144000</v>
      </c>
      <c r="G786" s="19">
        <v>108000</v>
      </c>
      <c r="H786" s="19">
        <v>18000</v>
      </c>
      <c r="I786" s="19">
        <v>36000</v>
      </c>
      <c r="J786" s="19">
        <v>36000</v>
      </c>
      <c r="K786" s="19">
        <v>36000</v>
      </c>
      <c r="L786" s="19">
        <v>36000</v>
      </c>
      <c r="M786" s="20">
        <f>IF(G786&gt;0,J786/G786,0)</f>
      </c>
    </row>
    <row r="787" ht="14.4" customHeight="1">
      <c r="A787" s="15" t="str">
        <v/>
      </c>
      <c r="B787" s="16" t="str">
        <v>07 FONDO DE COMPENSACION MUNICIPAL</v>
      </c>
      <c r="C787" s="17" t="str">
        <v/>
      </c>
      <c r="D787" s="18">
        <v>108000</v>
      </c>
      <c r="E787" s="18">
        <v>36000</v>
      </c>
      <c r="F787" s="18">
        <v>144000</v>
      </c>
      <c r="G787" s="19">
        <v>108000</v>
      </c>
      <c r="H787" s="19">
        <v>18000</v>
      </c>
      <c r="I787" s="19">
        <v>36000</v>
      </c>
      <c r="J787" s="19">
        <v>36000</v>
      </c>
      <c r="K787" s="19">
        <v>36000</v>
      </c>
      <c r="L787" s="19">
        <v>36000</v>
      </c>
      <c r="M787" s="20">
        <f>IF(G787&gt;0,J787/G787,0)</f>
      </c>
    </row>
    <row r="788" ht="14.4" customHeight="1">
      <c r="A788" s="21" t="str">
        <v/>
      </c>
      <c r="B788" s="22" t="str">
        <v>2.4.1.3.1.4     A OTRAS ENTIDADES PUBLICAS</v>
      </c>
      <c r="C788" s="23" t="str">
        <v/>
      </c>
      <c r="D788" s="24">
        <v>108000</v>
      </c>
      <c r="E788" s="24">
        <v>36000</v>
      </c>
      <c r="F788" s="24">
        <v>144000</v>
      </c>
      <c r="G788" s="25">
        <v>108000</v>
      </c>
      <c r="H788" s="25">
        <v>18000</v>
      </c>
      <c r="I788" s="25">
        <v>36000</v>
      </c>
      <c r="J788" s="25">
        <v>36000</v>
      </c>
      <c r="K788" s="25">
        <v>36000</v>
      </c>
      <c r="L788" s="25">
        <v>36000</v>
      </c>
      <c r="M788" s="26">
        <f>IF(G788&gt;0,J788/G788,0)</f>
      </c>
    </row>
    <row r="789" ht="14.4" customHeight="1">
      <c r="A789" s="15" t="str">
        <v>0083</v>
      </c>
      <c r="B789" s="16" t="str">
        <v>ATENCION A LAS PERSONAS CON DISCAPACIDAD MEDIANTE ACCIONES DE LA OFICINA MUNICIPAL DE ATENCION A LA PERSONA CON DISCAPACIDAD (OMAPED)</v>
      </c>
      <c r="C789" s="17" t="str">
        <v/>
      </c>
      <c r="D789" s="18">
        <v>200000</v>
      </c>
      <c r="E789" s="18">
        <v>0</v>
      </c>
      <c r="F789" s="18">
        <v>200000</v>
      </c>
      <c r="G789" s="19">
        <v>9600</v>
      </c>
      <c r="H789" s="19">
        <v>5800</v>
      </c>
      <c r="I789" s="19">
        <v>13610</v>
      </c>
      <c r="J789" s="19">
        <v>13610</v>
      </c>
      <c r="K789" s="19">
        <v>11600</v>
      </c>
      <c r="L789" s="19">
        <v>11600</v>
      </c>
      <c r="M789" s="20">
        <f>IF(G789&gt;0,J789/G789,0)</f>
      </c>
    </row>
    <row r="790" ht="14.4" customHeight="1">
      <c r="A790" s="15" t="str">
        <v/>
      </c>
      <c r="B790" s="16" t="str">
        <v>07 FONDO DE COMPENSACION MUNICIPAL</v>
      </c>
      <c r="C790" s="17" t="str">
        <v/>
      </c>
      <c r="D790" s="18">
        <v>200000</v>
      </c>
      <c r="E790" s="18">
        <v>0</v>
      </c>
      <c r="F790" s="18">
        <v>200000</v>
      </c>
      <c r="G790" s="19">
        <v>9600</v>
      </c>
      <c r="H790" s="19">
        <v>5800</v>
      </c>
      <c r="I790" s="19">
        <v>13610</v>
      </c>
      <c r="J790" s="19">
        <v>13610</v>
      </c>
      <c r="K790" s="19">
        <v>11600</v>
      </c>
      <c r="L790" s="19">
        <v>11600</v>
      </c>
      <c r="M790" s="20">
        <f>IF(G790&gt;0,J790/G790,0)</f>
      </c>
    </row>
    <row r="791" ht="14.4" customHeight="1">
      <c r="A791" s="21" t="str">
        <v/>
      </c>
      <c r="B791" s="22" t="str">
        <v>2.3.1.5.1.2     PAPELERIA EN GENERAL, UTILES Y MATERIALES DE OFICINA</v>
      </c>
      <c r="C791" s="23" t="str">
        <v/>
      </c>
      <c r="D791" s="24">
        <v>6000</v>
      </c>
      <c r="E791" s="24">
        <v>0</v>
      </c>
      <c r="F791" s="24">
        <v>6000</v>
      </c>
      <c r="G791" s="25">
        <v>0</v>
      </c>
      <c r="H791" s="25">
        <v>0</v>
      </c>
      <c r="I791" s="25">
        <v>0</v>
      </c>
      <c r="J791" s="25">
        <v>0</v>
      </c>
      <c r="K791" s="25">
        <v>0</v>
      </c>
      <c r="L791" s="25">
        <v>0</v>
      </c>
      <c r="M791" s="26">
        <f>IF(G791&gt;0,J791/G791,0)</f>
      </c>
    </row>
    <row r="792" ht="14.4" customHeight="1">
      <c r="A792" s="21" t="str">
        <v/>
      </c>
      <c r="B792" s="22" t="str">
        <v>2.3.1.5.3.1     ASEO, LIMPIEZA Y TOCADOR</v>
      </c>
      <c r="C792" s="23" t="str">
        <v/>
      </c>
      <c r="D792" s="24">
        <v>500</v>
      </c>
      <c r="E792" s="24">
        <v>0</v>
      </c>
      <c r="F792" s="24">
        <v>500</v>
      </c>
      <c r="G792" s="25">
        <v>0</v>
      </c>
      <c r="H792" s="25">
        <v>0</v>
      </c>
      <c r="I792" s="25">
        <v>0</v>
      </c>
      <c r="J792" s="25">
        <v>0</v>
      </c>
      <c r="K792" s="25">
        <v>0</v>
      </c>
      <c r="L792" s="25">
        <v>0</v>
      </c>
      <c r="M792" s="26">
        <f>IF(G792&gt;0,J792/G792,0)</f>
      </c>
    </row>
    <row r="793" ht="14.4" customHeight="1">
      <c r="A793" s="21" t="str">
        <v/>
      </c>
      <c r="B793" s="22" t="str">
        <v>2.3.1.8.1.2     MEDICAMENTOS</v>
      </c>
      <c r="C793" s="23" t="str">
        <v/>
      </c>
      <c r="D793" s="24">
        <v>2000</v>
      </c>
      <c r="E793" s="24">
        <v>0</v>
      </c>
      <c r="F793" s="24">
        <v>2000</v>
      </c>
      <c r="G793" s="25">
        <v>0</v>
      </c>
      <c r="H793" s="25">
        <v>0</v>
      </c>
      <c r="I793" s="25">
        <v>0</v>
      </c>
      <c r="J793" s="25">
        <v>0</v>
      </c>
      <c r="K793" s="25">
        <v>0</v>
      </c>
      <c r="L793" s="25">
        <v>0</v>
      </c>
      <c r="M793" s="26">
        <f>IF(G793&gt;0,J793/G793,0)</f>
      </c>
    </row>
    <row r="794" ht="14.4" customHeight="1">
      <c r="A794" s="21" t="str">
        <v/>
      </c>
      <c r="B794" s="22" t="str">
        <v>2.3.1.8.2.1     MATERIAL, INSUMOS, INSTRUMENTAL Y ACCESORIOS  MEDICOS, QUIRURGICOS, ODONTOLOGI</v>
      </c>
      <c r="C794" s="23" t="str">
        <v/>
      </c>
      <c r="D794" s="24">
        <v>1500</v>
      </c>
      <c r="E794" s="24">
        <v>0</v>
      </c>
      <c r="F794" s="24">
        <v>1500</v>
      </c>
      <c r="G794" s="25">
        <v>0</v>
      </c>
      <c r="H794" s="25">
        <v>0</v>
      </c>
      <c r="I794" s="25">
        <v>0</v>
      </c>
      <c r="J794" s="25">
        <v>0</v>
      </c>
      <c r="K794" s="25">
        <v>0</v>
      </c>
      <c r="L794" s="25">
        <v>0</v>
      </c>
      <c r="M794" s="26">
        <f>IF(G794&gt;0,J794/G794,0)</f>
      </c>
    </row>
    <row r="795" ht="14.4" customHeight="1">
      <c r="A795" s="21" t="str">
        <v/>
      </c>
      <c r="B795" s="22" t="str">
        <v>2.3.1.99.1.99     OTROS BIENES</v>
      </c>
      <c r="C795" s="23" t="str">
        <v/>
      </c>
      <c r="D795" s="24">
        <v>10000</v>
      </c>
      <c r="E795" s="24">
        <v>0</v>
      </c>
      <c r="F795" s="24">
        <v>10000</v>
      </c>
      <c r="G795" s="25">
        <v>0</v>
      </c>
      <c r="H795" s="25">
        <v>0</v>
      </c>
      <c r="I795" s="25">
        <v>0</v>
      </c>
      <c r="J795" s="25">
        <v>0</v>
      </c>
      <c r="K795" s="25">
        <v>0</v>
      </c>
      <c r="L795" s="25">
        <v>0</v>
      </c>
      <c r="M795" s="26">
        <f>IF(G795&gt;0,J795/G795,0)</f>
      </c>
    </row>
    <row r="796" ht="14.4" customHeight="1">
      <c r="A796" s="21" t="str">
        <v/>
      </c>
      <c r="B796" s="22" t="str">
        <v>2.3.2.1.2.1     PASAJES Y GASTOS DE TRANSPORTE</v>
      </c>
      <c r="C796" s="23" t="str">
        <v/>
      </c>
      <c r="D796" s="24">
        <v>2000</v>
      </c>
      <c r="E796" s="24">
        <v>0</v>
      </c>
      <c r="F796" s="24">
        <v>2000</v>
      </c>
      <c r="G796" s="25">
        <v>0</v>
      </c>
      <c r="H796" s="25">
        <v>0</v>
      </c>
      <c r="I796" s="25">
        <v>0</v>
      </c>
      <c r="J796" s="25">
        <v>0</v>
      </c>
      <c r="K796" s="25">
        <v>0</v>
      </c>
      <c r="L796" s="25">
        <v>0</v>
      </c>
      <c r="M796" s="26">
        <f>IF(G796&gt;0,J796/G796,0)</f>
      </c>
    </row>
    <row r="797" ht="14.4" customHeight="1">
      <c r="A797" s="21" t="str">
        <v/>
      </c>
      <c r="B797" s="22" t="str">
        <v>2.3.2.1.2.2     VIATICOS Y ASIGNACIONES POR COMISION DE SERVICIO</v>
      </c>
      <c r="C797" s="23" t="str">
        <v/>
      </c>
      <c r="D797" s="24">
        <v>3000</v>
      </c>
      <c r="E797" s="24">
        <v>0</v>
      </c>
      <c r="F797" s="24">
        <v>3000</v>
      </c>
      <c r="G797" s="25">
        <v>0</v>
      </c>
      <c r="H797" s="25">
        <v>0</v>
      </c>
      <c r="I797" s="25">
        <v>0</v>
      </c>
      <c r="J797" s="25">
        <v>0</v>
      </c>
      <c r="K797" s="25">
        <v>0</v>
      </c>
      <c r="L797" s="25">
        <v>0</v>
      </c>
      <c r="M797" s="26">
        <f>IF(G797&gt;0,J797/G797,0)</f>
      </c>
    </row>
    <row r="798" ht="14.4" customHeight="1">
      <c r="A798" s="21" t="str">
        <v/>
      </c>
      <c r="B798" s="22" t="str">
        <v>2.3.2.7.11.2     TRANSPORTE Y TRASLADO DE CARGA, BIENES Y MATERIALES</v>
      </c>
      <c r="C798" s="23" t="str">
        <v/>
      </c>
      <c r="D798" s="24">
        <v>5000</v>
      </c>
      <c r="E798" s="24">
        <v>0</v>
      </c>
      <c r="F798" s="24">
        <v>5000</v>
      </c>
      <c r="G798" s="25">
        <v>0</v>
      </c>
      <c r="H798" s="25">
        <v>0</v>
      </c>
      <c r="I798" s="25">
        <v>0</v>
      </c>
      <c r="J798" s="25">
        <v>0</v>
      </c>
      <c r="K798" s="25">
        <v>0</v>
      </c>
      <c r="L798" s="25">
        <v>0</v>
      </c>
      <c r="M798" s="26">
        <f>IF(G798&gt;0,J798/G798,0)</f>
      </c>
    </row>
    <row r="799" ht="14.4" customHeight="1">
      <c r="A799" s="21" t="str">
        <v/>
      </c>
      <c r="B799" s="22" t="str">
        <v>2.3.2.7.11.5     SERVICIOS DE ALIMENTACION DE CONSUMO HUMANO</v>
      </c>
      <c r="C799" s="23" t="str">
        <v/>
      </c>
      <c r="D799" s="24">
        <v>10000</v>
      </c>
      <c r="E799" s="24">
        <v>0</v>
      </c>
      <c r="F799" s="24">
        <v>10000</v>
      </c>
      <c r="G799" s="25">
        <v>0</v>
      </c>
      <c r="H799" s="25">
        <v>0</v>
      </c>
      <c r="I799" s="25">
        <v>210</v>
      </c>
      <c r="J799" s="25">
        <v>210</v>
      </c>
      <c r="K799" s="25">
        <v>0</v>
      </c>
      <c r="L799" s="25">
        <v>0</v>
      </c>
      <c r="M799" s="26">
        <f>IF(G799&gt;0,J799/G799,0)</f>
      </c>
    </row>
    <row r="800" ht="14.4" customHeight="1">
      <c r="A800" s="21" t="str">
        <v/>
      </c>
      <c r="B800" s="22" t="str">
        <v>2.3.2.7.11.99     SERVICIOS DIVERSOS</v>
      </c>
      <c r="C800" s="23" t="str">
        <v/>
      </c>
      <c r="D800" s="24">
        <v>100000</v>
      </c>
      <c r="E800" s="24">
        <v>0</v>
      </c>
      <c r="F800" s="24">
        <v>100000</v>
      </c>
      <c r="G800" s="25">
        <v>0</v>
      </c>
      <c r="H800" s="25">
        <v>0</v>
      </c>
      <c r="I800" s="25">
        <v>0</v>
      </c>
      <c r="J800" s="25">
        <v>0</v>
      </c>
      <c r="K800" s="25">
        <v>0</v>
      </c>
      <c r="L800" s="25">
        <v>0</v>
      </c>
      <c r="M800" s="26">
        <f>IF(G800&gt;0,J800/G800,0)</f>
      </c>
    </row>
    <row r="801" ht="14.4" customHeight="1">
      <c r="A801" s="21" t="str">
        <v/>
      </c>
      <c r="B801" s="22" t="str">
        <v>2.3.2.9.1.1     LOCACIÓN DE SERVICIOS REALIZADOS POR PERSONA NATURAL</v>
      </c>
      <c r="C801" s="23" t="str">
        <v/>
      </c>
      <c r="D801" s="24">
        <v>60000</v>
      </c>
      <c r="E801" s="24">
        <v>0</v>
      </c>
      <c r="F801" s="24">
        <v>60000</v>
      </c>
      <c r="G801" s="25">
        <v>9600</v>
      </c>
      <c r="H801" s="25">
        <v>5800</v>
      </c>
      <c r="I801" s="25">
        <v>13400</v>
      </c>
      <c r="J801" s="25">
        <v>13400</v>
      </c>
      <c r="K801" s="25">
        <v>11600</v>
      </c>
      <c r="L801" s="25">
        <v>11600</v>
      </c>
      <c r="M801" s="26">
        <f>IF(G801&gt;0,J801/G801,0)</f>
      </c>
    </row>
    <row r="802" ht="14.4" customHeight="1">
      <c r="A802" s="15" t="str">
        <v>0084</v>
      </c>
      <c r="B802" s="16" t="str">
        <v>MEJORAMIENTO Y AMPLIACION DEL SERVICIO DE AGUA POTABLE RURAL Y CREACION DEL SERVICIO DE DISPOSICION SANITARIA DE EXCRETAS EN LOCALIDAD DE TOCLLAPITE DE CENTRO POBLADO TOCLLAPITE - DISTRITO DE</v>
      </c>
      <c r="C802" s="17" t="str">
        <v/>
      </c>
      <c r="D802" s="18">
        <v>0</v>
      </c>
      <c r="E802" s="18">
        <v>804801</v>
      </c>
      <c r="F802" s="18">
        <v>804801</v>
      </c>
      <c r="G802" s="19">
        <v>804801</v>
      </c>
      <c r="H802" s="19">
        <v>0</v>
      </c>
      <c r="I802" s="19">
        <v>0</v>
      </c>
      <c r="J802" s="19">
        <v>0</v>
      </c>
      <c r="K802" s="19">
        <v>0</v>
      </c>
      <c r="L802" s="19">
        <v>0</v>
      </c>
      <c r="M802" s="20">
        <f>IF(G802&gt;0,J802/G802,0)</f>
      </c>
    </row>
    <row r="803" ht="14.4" customHeight="1">
      <c r="A803" s="15" t="str">
        <v/>
      </c>
      <c r="B803" s="16" t="str">
        <v>00 RECURSOS ORDINARIOS</v>
      </c>
      <c r="C803" s="17" t="str">
        <v/>
      </c>
      <c r="D803" s="18">
        <v>0</v>
      </c>
      <c r="E803" s="18">
        <v>804801</v>
      </c>
      <c r="F803" s="18">
        <v>804801</v>
      </c>
      <c r="G803" s="19">
        <v>804801</v>
      </c>
      <c r="H803" s="19">
        <v>0</v>
      </c>
      <c r="I803" s="19">
        <v>0</v>
      </c>
      <c r="J803" s="19">
        <v>0</v>
      </c>
      <c r="K803" s="19">
        <v>0</v>
      </c>
      <c r="L803" s="19">
        <v>0</v>
      </c>
      <c r="M803" s="20">
        <f>IF(G803&gt;0,J803/G803,0)</f>
      </c>
    </row>
    <row r="804" ht="14.4" customHeight="1">
      <c r="A804" s="21" t="str">
        <v/>
      </c>
      <c r="B804" s="22" t="str">
        <v>2.6.2.3.5.2     COSTO DE CONSTRUCCION POR CONTRATA</v>
      </c>
      <c r="C804" s="23" t="str">
        <v/>
      </c>
      <c r="D804" s="24">
        <v>0</v>
      </c>
      <c r="E804" s="24">
        <v>804801</v>
      </c>
      <c r="F804" s="24">
        <v>804801</v>
      </c>
      <c r="G804" s="25">
        <v>804801</v>
      </c>
      <c r="H804" s="25">
        <v>0</v>
      </c>
      <c r="I804" s="25">
        <v>0</v>
      </c>
      <c r="J804" s="25">
        <v>0</v>
      </c>
      <c r="K804" s="25">
        <v>0</v>
      </c>
      <c r="L804" s="25">
        <v>0</v>
      </c>
      <c r="M804" s="26">
        <f>IF(G804&gt;0,J804/G804,0)</f>
      </c>
    </row>
    <row r="805" ht="14.4" customHeight="1">
      <c r="A805" s="15" t="str">
        <v>0085</v>
      </c>
      <c r="B805" s="16" t="str">
        <v>CONSTRUCCION DE CEMENTERIO</v>
      </c>
      <c r="C805" s="17" t="str">
        <v/>
      </c>
      <c r="D805" s="18">
        <v>0</v>
      </c>
      <c r="E805" s="18">
        <v>293231</v>
      </c>
      <c r="F805" s="18">
        <v>293231</v>
      </c>
      <c r="G805" s="19">
        <v>10400</v>
      </c>
      <c r="H805" s="19">
        <v>10400</v>
      </c>
      <c r="I805" s="19">
        <v>10400</v>
      </c>
      <c r="J805" s="19">
        <v>111690.84</v>
      </c>
      <c r="K805" s="19">
        <v>0</v>
      </c>
      <c r="L805" s="19">
        <v>0</v>
      </c>
      <c r="M805" s="20">
        <f>IF(G805&gt;0,J805/G805,0)</f>
      </c>
    </row>
    <row r="806" ht="14.4" customHeight="1">
      <c r="A806" s="15" t="str">
        <v/>
      </c>
      <c r="B806" s="16" t="str">
        <v>07 FONDO DE COMPENSACION MUNICIPAL</v>
      </c>
      <c r="C806" s="17" t="str">
        <v/>
      </c>
      <c r="D806" s="18">
        <v>0</v>
      </c>
      <c r="E806" s="18">
        <v>111691</v>
      </c>
      <c r="F806" s="18">
        <v>111691</v>
      </c>
      <c r="G806" s="19">
        <v>0</v>
      </c>
      <c r="H806" s="19">
        <v>0</v>
      </c>
      <c r="I806" s="19">
        <v>0</v>
      </c>
      <c r="J806" s="19">
        <v>0</v>
      </c>
      <c r="K806" s="19">
        <v>0</v>
      </c>
      <c r="L806" s="19">
        <v>0</v>
      </c>
      <c r="M806" s="20">
        <f>IF(G806&gt;0,J806/G806,0)</f>
      </c>
    </row>
    <row r="807" ht="14.4" customHeight="1">
      <c r="A807" s="21" t="str">
        <v/>
      </c>
      <c r="B807" s="22" t="str">
        <v>2.6.2.3.99.2     COSTO DE CONSTRUCCION POR CONTRATA</v>
      </c>
      <c r="C807" s="23" t="str">
        <v/>
      </c>
      <c r="D807" s="24">
        <v>0</v>
      </c>
      <c r="E807" s="24">
        <v>111691</v>
      </c>
      <c r="F807" s="24">
        <v>111691</v>
      </c>
      <c r="G807" s="25">
        <v>0</v>
      </c>
      <c r="H807" s="25">
        <v>0</v>
      </c>
      <c r="I807" s="25">
        <v>0</v>
      </c>
      <c r="J807" s="25">
        <v>0</v>
      </c>
      <c r="K807" s="25">
        <v>0</v>
      </c>
      <c r="L807" s="25">
        <v>0</v>
      </c>
      <c r="M807" s="26">
        <f>IF(G807&gt;0,J807/G807,0)</f>
      </c>
    </row>
    <row r="808" ht="14.4" customHeight="1">
      <c r="A808" s="15" t="str">
        <v/>
      </c>
      <c r="B808" s="16" t="str">
        <v>18 CANON Y SOBRECANON, REGALIAS, RENTA DE ADUANAS Y PARTICIPACIONES</v>
      </c>
      <c r="C808" s="17" t="str">
        <v/>
      </c>
      <c r="D808" s="18">
        <v>0</v>
      </c>
      <c r="E808" s="18">
        <v>181540</v>
      </c>
      <c r="F808" s="18">
        <v>181540</v>
      </c>
      <c r="G808" s="19">
        <v>10400</v>
      </c>
      <c r="H808" s="19">
        <v>10400</v>
      </c>
      <c r="I808" s="19">
        <v>10400</v>
      </c>
      <c r="J808" s="19">
        <v>111690.84</v>
      </c>
      <c r="K808" s="19">
        <v>0</v>
      </c>
      <c r="L808" s="19">
        <v>0</v>
      </c>
      <c r="M808" s="20">
        <f>IF(G808&gt;0,J808/G808,0)</f>
      </c>
    </row>
    <row r="809" ht="14.4" customHeight="1">
      <c r="A809" s="21" t="str">
        <v/>
      </c>
      <c r="B809" s="22" t="str">
        <v>2.6.2.3.99.2     COSTO DE CONSTRUCCION POR CONTRATA</v>
      </c>
      <c r="C809" s="23" t="str">
        <v/>
      </c>
      <c r="D809" s="24">
        <v>0</v>
      </c>
      <c r="E809" s="24">
        <v>171140</v>
      </c>
      <c r="F809" s="24">
        <v>171140</v>
      </c>
      <c r="G809" s="25">
        <v>0</v>
      </c>
      <c r="H809" s="25">
        <v>0</v>
      </c>
      <c r="I809" s="25">
        <v>0</v>
      </c>
      <c r="J809" s="25">
        <v>111690.84</v>
      </c>
      <c r="K809" s="25">
        <v>0</v>
      </c>
      <c r="L809" s="25">
        <v>0</v>
      </c>
      <c r="M809" s="26">
        <f>IF(G809&gt;0,J809/G809,0)</f>
      </c>
    </row>
    <row r="810" ht="14.4" customHeight="1">
      <c r="A810" s="21" t="str">
        <v/>
      </c>
      <c r="B810" s="22" t="str">
        <v>2.6.8.1.4.3     GASTO POR LA CONTRATACION DE SERVICIOS</v>
      </c>
      <c r="C810" s="23" t="str">
        <v/>
      </c>
      <c r="D810" s="24">
        <v>0</v>
      </c>
      <c r="E810" s="24">
        <v>10400</v>
      </c>
      <c r="F810" s="24">
        <v>10400</v>
      </c>
      <c r="G810" s="25">
        <v>10400</v>
      </c>
      <c r="H810" s="25">
        <v>10400</v>
      </c>
      <c r="I810" s="25">
        <v>10400</v>
      </c>
      <c r="J810" s="25">
        <v>0</v>
      </c>
      <c r="K810" s="25">
        <v>0</v>
      </c>
      <c r="L810" s="25">
        <v>0</v>
      </c>
      <c r="M810" s="26">
        <f>IF(G810&gt;0,J810/G810,0)</f>
      </c>
    </row>
    <row r="811" ht="14.4" customHeight="1">
      <c r="A811" s="15" t="str">
        <v>0086</v>
      </c>
      <c r="B811" s="16" t="str">
        <v>BRINDAR ASISTENCIA SOCIAL</v>
      </c>
      <c r="C811" s="17" t="str">
        <v/>
      </c>
      <c r="D811" s="18">
        <v>0</v>
      </c>
      <c r="E811" s="18">
        <v>86000</v>
      </c>
      <c r="F811" s="18">
        <v>86000</v>
      </c>
      <c r="G811" s="19">
        <v>25300</v>
      </c>
      <c r="H811" s="19">
        <v>20300</v>
      </c>
      <c r="I811" s="19">
        <v>30800</v>
      </c>
      <c r="J811" s="19">
        <v>30800</v>
      </c>
      <c r="K811" s="19">
        <v>30800</v>
      </c>
      <c r="L811" s="19">
        <v>30800</v>
      </c>
      <c r="M811" s="20">
        <f>IF(G811&gt;0,J811/G811,0)</f>
      </c>
    </row>
    <row r="812" ht="14.4" customHeight="1">
      <c r="A812" s="15" t="str">
        <v/>
      </c>
      <c r="B812" s="16" t="str">
        <v>07 FONDO DE COMPENSACION MUNICIPAL</v>
      </c>
      <c r="C812" s="17" t="str">
        <v/>
      </c>
      <c r="D812" s="18">
        <v>0</v>
      </c>
      <c r="E812" s="18">
        <v>86000</v>
      </c>
      <c r="F812" s="18">
        <v>86000</v>
      </c>
      <c r="G812" s="19">
        <v>25300</v>
      </c>
      <c r="H812" s="19">
        <v>20300</v>
      </c>
      <c r="I812" s="19">
        <v>30800</v>
      </c>
      <c r="J812" s="19">
        <v>30800</v>
      </c>
      <c r="K812" s="19">
        <v>30800</v>
      </c>
      <c r="L812" s="19">
        <v>30800</v>
      </c>
      <c r="M812" s="20">
        <f>IF(G812&gt;0,J812/G812,0)</f>
      </c>
    </row>
    <row r="813" ht="14.4" customHeight="1">
      <c r="A813" s="21" t="str">
        <v/>
      </c>
      <c r="B813" s="22" t="str">
        <v>2.3.1.1.1.1     ALIMENTOS Y BEBIDAS PARA CONSUMO HUMANO</v>
      </c>
      <c r="C813" s="23" t="str">
        <v/>
      </c>
      <c r="D813" s="24">
        <v>0</v>
      </c>
      <c r="E813" s="24">
        <v>5000</v>
      </c>
      <c r="F813" s="24">
        <v>5000</v>
      </c>
      <c r="G813" s="25">
        <v>0</v>
      </c>
      <c r="H813" s="25">
        <v>0</v>
      </c>
      <c r="I813" s="25">
        <v>0</v>
      </c>
      <c r="J813" s="25">
        <v>0</v>
      </c>
      <c r="K813" s="25">
        <v>0</v>
      </c>
      <c r="L813" s="25">
        <v>0</v>
      </c>
      <c r="M813" s="26">
        <f>IF(G813&gt;0,J813/G813,0)</f>
      </c>
    </row>
    <row r="814" ht="14.4" customHeight="1">
      <c r="A814" s="21" t="str">
        <v/>
      </c>
      <c r="B814" s="22" t="str">
        <v>2.3.1.99.1.99     OTROS BIENES</v>
      </c>
      <c r="C814" s="23" t="str">
        <v/>
      </c>
      <c r="D814" s="24">
        <v>0</v>
      </c>
      <c r="E814" s="24">
        <v>10000</v>
      </c>
      <c r="F814" s="24">
        <v>10000</v>
      </c>
      <c r="G814" s="25">
        <v>0</v>
      </c>
      <c r="H814" s="25">
        <v>0</v>
      </c>
      <c r="I814" s="25">
        <v>0</v>
      </c>
      <c r="J814" s="25">
        <v>0</v>
      </c>
      <c r="K814" s="25">
        <v>0</v>
      </c>
      <c r="L814" s="25">
        <v>0</v>
      </c>
      <c r="M814" s="26">
        <f>IF(G814&gt;0,J814/G814,0)</f>
      </c>
    </row>
    <row r="815" ht="14.4" customHeight="1">
      <c r="A815" s="21" t="str">
        <v/>
      </c>
      <c r="B815" s="22" t="str">
        <v>2.3.2.7.11.5     SERVICIOS DE ALIMENTACION DE CONSUMO HUMANO</v>
      </c>
      <c r="C815" s="23" t="str">
        <v/>
      </c>
      <c r="D815" s="24">
        <v>0</v>
      </c>
      <c r="E815" s="24">
        <v>10000</v>
      </c>
      <c r="F815" s="24">
        <v>10000</v>
      </c>
      <c r="G815" s="25">
        <v>0</v>
      </c>
      <c r="H815" s="25">
        <v>0</v>
      </c>
      <c r="I815" s="25">
        <v>0</v>
      </c>
      <c r="J815" s="25">
        <v>0</v>
      </c>
      <c r="K815" s="25">
        <v>0</v>
      </c>
      <c r="L815" s="25">
        <v>0</v>
      </c>
      <c r="M815" s="26">
        <f>IF(G815&gt;0,J815/G815,0)</f>
      </c>
    </row>
    <row r="816" ht="14.4" customHeight="1">
      <c r="A816" s="21" t="str">
        <v/>
      </c>
      <c r="B816" s="22" t="str">
        <v>2.3.2.7.14.98     OTROS SERVICIOS TÉCNICOS Y PROFESIONALES DESARROLLADOS POR PERSONAS NATURALES</v>
      </c>
      <c r="C816" s="23" t="str">
        <v/>
      </c>
      <c r="D816" s="24">
        <v>0</v>
      </c>
      <c r="E816" s="24">
        <v>25000</v>
      </c>
      <c r="F816" s="24">
        <v>25000</v>
      </c>
      <c r="G816" s="25">
        <v>0</v>
      </c>
      <c r="H816" s="25">
        <v>0</v>
      </c>
      <c r="I816" s="25">
        <v>0</v>
      </c>
      <c r="J816" s="25">
        <v>0</v>
      </c>
      <c r="K816" s="25">
        <v>0</v>
      </c>
      <c r="L816" s="25">
        <v>0</v>
      </c>
      <c r="M816" s="26">
        <f>IF(G816&gt;0,J816/G816,0)</f>
      </c>
    </row>
    <row r="817" ht="14.4" customHeight="1">
      <c r="A817" s="21" t="str">
        <v/>
      </c>
      <c r="B817" s="22" t="str">
        <v>2.3.2.9.1.1     LOCACIÓN DE SERVICIOS REALIZADOS POR PERSONA NATURAL</v>
      </c>
      <c r="C817" s="23" t="str">
        <v/>
      </c>
      <c r="D817" s="24">
        <v>0</v>
      </c>
      <c r="E817" s="24">
        <v>36000</v>
      </c>
      <c r="F817" s="24">
        <v>36000</v>
      </c>
      <c r="G817" s="25">
        <v>25300</v>
      </c>
      <c r="H817" s="25">
        <v>20300</v>
      </c>
      <c r="I817" s="25">
        <v>30800</v>
      </c>
      <c r="J817" s="25">
        <v>30800</v>
      </c>
      <c r="K817" s="25">
        <v>30800</v>
      </c>
      <c r="L817" s="25">
        <v>30800</v>
      </c>
      <c r="M817" s="26">
        <f>IF(G817&gt;0,J817/G817,0)</f>
      </c>
    </row>
    <row r="818" ht="14.4" customHeight="1">
      <c r="A818" s="15" t="str">
        <v>0087</v>
      </c>
      <c r="B818" s="16" t="str">
        <v>SEGUIMIENTO Y VERIFICACION DEL CUMPLIMIENTO DE LAS OBLIGACIONES AMBIENTALES</v>
      </c>
      <c r="C818" s="17" t="str">
        <v/>
      </c>
      <c r="D818" s="18">
        <v>0</v>
      </c>
      <c r="E818" s="18">
        <v>10000</v>
      </c>
      <c r="F818" s="18">
        <v>10000</v>
      </c>
      <c r="G818" s="19">
        <v>0</v>
      </c>
      <c r="H818" s="19">
        <v>0</v>
      </c>
      <c r="I818" s="19">
        <v>0</v>
      </c>
      <c r="J818" s="19">
        <v>0</v>
      </c>
      <c r="K818" s="19">
        <v>0</v>
      </c>
      <c r="L818" s="19">
        <v>0</v>
      </c>
      <c r="M818" s="20">
        <f>IF(G818&gt;0,J818/G818,0)</f>
      </c>
    </row>
    <row r="819" ht="14.4" customHeight="1">
      <c r="A819" s="15" t="str">
        <v/>
      </c>
      <c r="B819" s="16" t="str">
        <v>07 FONDO DE COMPENSACION MUNICIPAL</v>
      </c>
      <c r="C819" s="17" t="str">
        <v/>
      </c>
      <c r="D819" s="18">
        <v>0</v>
      </c>
      <c r="E819" s="18">
        <v>10000</v>
      </c>
      <c r="F819" s="18">
        <v>10000</v>
      </c>
      <c r="G819" s="19">
        <v>0</v>
      </c>
      <c r="H819" s="19">
        <v>0</v>
      </c>
      <c r="I819" s="19">
        <v>0</v>
      </c>
      <c r="J819" s="19">
        <v>0</v>
      </c>
      <c r="K819" s="19">
        <v>0</v>
      </c>
      <c r="L819" s="19">
        <v>0</v>
      </c>
      <c r="M819" s="20">
        <f>IF(G819&gt;0,J819/G819,0)</f>
      </c>
    </row>
    <row r="820" ht="14.4" customHeight="1">
      <c r="A820" s="21" t="str">
        <v/>
      </c>
      <c r="B820" s="22" t="str">
        <v>2.3.2.7.14.98     OTROS SERVICIOS TÉCNICOS Y PROFESIONALES DESARROLLADOS POR PERSONAS NATURALES</v>
      </c>
      <c r="C820" s="23" t="str">
        <v/>
      </c>
      <c r="D820" s="24">
        <v>0</v>
      </c>
      <c r="E820" s="24">
        <v>10000</v>
      </c>
      <c r="F820" s="24">
        <v>10000</v>
      </c>
      <c r="G820" s="25">
        <v>0</v>
      </c>
      <c r="H820" s="25">
        <v>0</v>
      </c>
      <c r="I820" s="25">
        <v>0</v>
      </c>
      <c r="J820" s="25">
        <v>0</v>
      </c>
      <c r="K820" s="25">
        <v>0</v>
      </c>
      <c r="L820" s="25">
        <v>0</v>
      </c>
      <c r="M820" s="26">
        <f>IF(G820&gt;0,J820/G820,0)</f>
      </c>
    </row>
    <row r="821" ht="14.4" customHeight="1">
      <c r="A821" s="15" t="str">
        <v>0088</v>
      </c>
      <c r="B821" s="16" t="str">
        <v>RENOVACION DE CAMPO DEPORTIVO EN EL ESTADIO MUNICIPAL PEDRO POTENCIANO CHOQUEHUANCA, DISTRITO DE HUANCABAMBA, HUANCABAMBA, PIURA</v>
      </c>
      <c r="C821" s="17" t="str">
        <v/>
      </c>
      <c r="D821" s="18">
        <v>0</v>
      </c>
      <c r="E821" s="18">
        <v>491625</v>
      </c>
      <c r="F821" s="18">
        <v>491625</v>
      </c>
      <c r="G821" s="19">
        <v>491624.06</v>
      </c>
      <c r="H821" s="19">
        <v>491624.06</v>
      </c>
      <c r="I821" s="19">
        <v>491624.06</v>
      </c>
      <c r="J821" s="19">
        <v>491624.06</v>
      </c>
      <c r="K821" s="19">
        <v>291624.06</v>
      </c>
      <c r="L821" s="19">
        <v>291624.06</v>
      </c>
      <c r="M821" s="20">
        <f>IF(G821&gt;0,J821/G821,0)</f>
      </c>
    </row>
    <row r="822" ht="14.4" customHeight="1">
      <c r="A822" s="15" t="str">
        <v/>
      </c>
      <c r="B822" s="16" t="str">
        <v>07 FONDO DE COMPENSACION MUNICIPAL</v>
      </c>
      <c r="C822" s="17" t="str">
        <v/>
      </c>
      <c r="D822" s="18">
        <v>0</v>
      </c>
      <c r="E822" s="18">
        <v>291625</v>
      </c>
      <c r="F822" s="18">
        <v>291625</v>
      </c>
      <c r="G822" s="19">
        <v>291624.06</v>
      </c>
      <c r="H822" s="19">
        <v>291624.06</v>
      </c>
      <c r="I822" s="19">
        <v>291624.06</v>
      </c>
      <c r="J822" s="19">
        <v>291624.06</v>
      </c>
      <c r="K822" s="19">
        <v>291624.06</v>
      </c>
      <c r="L822" s="19">
        <v>291624.06</v>
      </c>
      <c r="M822" s="20">
        <f>IF(G822&gt;0,J822/G822,0)</f>
      </c>
    </row>
    <row r="823" ht="14.4" customHeight="1">
      <c r="A823" s="21" t="str">
        <v/>
      </c>
      <c r="B823" s="22" t="str">
        <v>2.6.2.3.99.2     COSTO DE CONSTRUCCION POR CONTRATA</v>
      </c>
      <c r="C823" s="23" t="str">
        <v/>
      </c>
      <c r="D823" s="24">
        <v>0</v>
      </c>
      <c r="E823" s="24">
        <v>291625</v>
      </c>
      <c r="F823" s="24">
        <v>291625</v>
      </c>
      <c r="G823" s="25">
        <v>291624.06</v>
      </c>
      <c r="H823" s="25">
        <v>291624.06</v>
      </c>
      <c r="I823" s="25">
        <v>291624.06</v>
      </c>
      <c r="J823" s="25">
        <v>291624.06</v>
      </c>
      <c r="K823" s="25">
        <v>291624.06</v>
      </c>
      <c r="L823" s="25">
        <v>291624.06</v>
      </c>
      <c r="M823" s="26">
        <f>IF(G823&gt;0,J823/G823,0)</f>
      </c>
    </row>
    <row r="824" ht="14.4" customHeight="1">
      <c r="A824" s="15" t="str">
        <v/>
      </c>
      <c r="B824" s="16" t="str">
        <v>18 CANON Y SOBRECANON, REGALIAS, RENTA DE ADUANAS Y PARTICIPACIONES</v>
      </c>
      <c r="C824" s="17" t="str">
        <v/>
      </c>
      <c r="D824" s="18">
        <v>0</v>
      </c>
      <c r="E824" s="18">
        <v>200000</v>
      </c>
      <c r="F824" s="18">
        <v>200000</v>
      </c>
      <c r="G824" s="19">
        <v>200000</v>
      </c>
      <c r="H824" s="19">
        <v>200000</v>
      </c>
      <c r="I824" s="19">
        <v>200000</v>
      </c>
      <c r="J824" s="19">
        <v>200000</v>
      </c>
      <c r="K824" s="19">
        <v>0</v>
      </c>
      <c r="L824" s="19">
        <v>0</v>
      </c>
      <c r="M824" s="20">
        <f>IF(G824&gt;0,J824/G824,0)</f>
      </c>
    </row>
    <row r="825" ht="14.4" customHeight="1">
      <c r="A825" s="21" t="str">
        <v/>
      </c>
      <c r="B825" s="22" t="str">
        <v>2.6.2.3.5.2     COSTO DE CONSTRUCCION POR CONTRATA</v>
      </c>
      <c r="C825" s="23" t="str">
        <v/>
      </c>
      <c r="D825" s="24">
        <v>0</v>
      </c>
      <c r="E825" s="24">
        <v>0</v>
      </c>
      <c r="F825" s="24">
        <v>0</v>
      </c>
      <c r="G825" s="25">
        <v>0</v>
      </c>
      <c r="H825" s="25">
        <v>0</v>
      </c>
      <c r="I825" s="25">
        <v>0</v>
      </c>
      <c r="J825" s="25">
        <v>0</v>
      </c>
      <c r="K825" s="25">
        <v>0</v>
      </c>
      <c r="L825" s="25">
        <v>0</v>
      </c>
      <c r="M825" s="26">
        <f>IF(G825&gt;0,J825/G825,0)</f>
      </c>
    </row>
    <row r="826" ht="14.4" customHeight="1">
      <c r="A826" s="21" t="str">
        <v/>
      </c>
      <c r="B826" s="22" t="str">
        <v>2.6.2.3.99.2     COSTO DE CONSTRUCCION POR CONTRATA</v>
      </c>
      <c r="C826" s="23" t="str">
        <v/>
      </c>
      <c r="D826" s="24">
        <v>0</v>
      </c>
      <c r="E826" s="24">
        <v>200000</v>
      </c>
      <c r="F826" s="24">
        <v>200000</v>
      </c>
      <c r="G826" s="25">
        <v>200000</v>
      </c>
      <c r="H826" s="25">
        <v>200000</v>
      </c>
      <c r="I826" s="25">
        <v>200000</v>
      </c>
      <c r="J826" s="25">
        <v>200000</v>
      </c>
      <c r="K826" s="25">
        <v>0</v>
      </c>
      <c r="L826" s="25">
        <v>0</v>
      </c>
      <c r="M826" s="26">
        <f>IF(G826&gt;0,J826/G826,0)</f>
      </c>
    </row>
    <row r="827" ht="14.4" customHeight="1">
      <c r="A827" s="15" t="str">
        <v>0089</v>
      </c>
      <c r="B827" s="16" t="str">
        <v>SERVICIO DE MANTENIMIENTO VIAL RUTINARIO DEL CAMINO VECINAL NO PAVIMENTADO DEL PI-843 TRAMO: EMP.PE-3N (TRES ACEQUIAS) - COMENDEROS ALTO (KM 1+785) (L1.785 KM), DISTRITO DE HUANCABAMBA - HUANC</v>
      </c>
      <c r="C827" s="17" t="str">
        <v/>
      </c>
      <c r="D827" s="18">
        <v>0</v>
      </c>
      <c r="E827" s="18">
        <v>12097</v>
      </c>
      <c r="F827" s="18">
        <v>12097</v>
      </c>
      <c r="G827" s="19">
        <v>12097</v>
      </c>
      <c r="H827" s="19">
        <v>12097</v>
      </c>
      <c r="I827" s="19">
        <v>0</v>
      </c>
      <c r="J827" s="19">
        <v>0</v>
      </c>
      <c r="K827" s="19">
        <v>0</v>
      </c>
      <c r="L827" s="19">
        <v>0</v>
      </c>
      <c r="M827" s="20">
        <f>IF(G827&gt;0,J827/G827,0)</f>
      </c>
    </row>
    <row r="828" ht="14.4" customHeight="1">
      <c r="A828" s="15" t="str">
        <v/>
      </c>
      <c r="B828" s="16" t="str">
        <v>00 RECURSOS ORDINARIOS</v>
      </c>
      <c r="C828" s="17" t="str">
        <v/>
      </c>
      <c r="D828" s="18">
        <v>0</v>
      </c>
      <c r="E828" s="18">
        <v>12097</v>
      </c>
      <c r="F828" s="18">
        <v>12097</v>
      </c>
      <c r="G828" s="19">
        <v>12097</v>
      </c>
      <c r="H828" s="19">
        <v>12097</v>
      </c>
      <c r="I828" s="19">
        <v>0</v>
      </c>
      <c r="J828" s="19">
        <v>0</v>
      </c>
      <c r="K828" s="19">
        <v>0</v>
      </c>
      <c r="L828" s="19">
        <v>0</v>
      </c>
      <c r="M828" s="20">
        <f>IF(G828&gt;0,J828/G828,0)</f>
      </c>
    </row>
    <row r="829" ht="14.4" customHeight="1">
      <c r="A829" s="21" t="str">
        <v/>
      </c>
      <c r="B829" s="22" t="str">
        <v>2.4.2.3.1.4     A OTRAS ENTIDADES PUBLICAS</v>
      </c>
      <c r="C829" s="23" t="str">
        <v/>
      </c>
      <c r="D829" s="24">
        <v>0</v>
      </c>
      <c r="E829" s="24">
        <v>12097</v>
      </c>
      <c r="F829" s="24">
        <v>12097</v>
      </c>
      <c r="G829" s="25">
        <v>12097</v>
      </c>
      <c r="H829" s="25">
        <v>12097</v>
      </c>
      <c r="I829" s="25">
        <v>0</v>
      </c>
      <c r="J829" s="25">
        <v>0</v>
      </c>
      <c r="K829" s="25">
        <v>0</v>
      </c>
      <c r="L829" s="25">
        <v>0</v>
      </c>
      <c r="M829" s="26">
        <f>IF(G829&gt;0,J829/G829,0)</f>
      </c>
    </row>
    <row r="830" ht="14.4" customHeight="1">
      <c r="A830" s="15" t="str">
        <v>0090</v>
      </c>
      <c r="B830" s="16" t="str">
        <v>SERVICIO DE MANTENIMIENTO VIAL RUTINARIO DEL CAMINO VECINAL NO PAVIMENTADO DEL PI-911 TRAMO: EMP. PE-02 A - CAJAS CAPSOL-CHAMANAN (KM 4+596) (L4.596 KM), DISTRITO DE HUANCABAMBA - HUANCABAMBA</v>
      </c>
      <c r="C830" s="17" t="str">
        <v/>
      </c>
      <c r="D830" s="18">
        <v>0</v>
      </c>
      <c r="E830" s="18">
        <v>30738</v>
      </c>
      <c r="F830" s="18">
        <v>30738</v>
      </c>
      <c r="G830" s="19">
        <v>30738</v>
      </c>
      <c r="H830" s="19">
        <v>30738</v>
      </c>
      <c r="I830" s="19">
        <v>0</v>
      </c>
      <c r="J830" s="19">
        <v>0</v>
      </c>
      <c r="K830" s="19">
        <v>0</v>
      </c>
      <c r="L830" s="19">
        <v>0</v>
      </c>
      <c r="M830" s="20">
        <f>IF(G830&gt;0,J830/G830,0)</f>
      </c>
    </row>
    <row r="831" ht="14.4" customHeight="1">
      <c r="A831" s="15" t="str">
        <v/>
      </c>
      <c r="B831" s="16" t="str">
        <v>00 RECURSOS ORDINARIOS</v>
      </c>
      <c r="C831" s="17" t="str">
        <v/>
      </c>
      <c r="D831" s="18">
        <v>0</v>
      </c>
      <c r="E831" s="18">
        <v>30738</v>
      </c>
      <c r="F831" s="18">
        <v>30738</v>
      </c>
      <c r="G831" s="19">
        <v>30738</v>
      </c>
      <c r="H831" s="19">
        <v>30738</v>
      </c>
      <c r="I831" s="19">
        <v>0</v>
      </c>
      <c r="J831" s="19">
        <v>0</v>
      </c>
      <c r="K831" s="19">
        <v>0</v>
      </c>
      <c r="L831" s="19">
        <v>0</v>
      </c>
      <c r="M831" s="20">
        <f>IF(G831&gt;0,J831/G831,0)</f>
      </c>
    </row>
    <row r="832" ht="14.4" customHeight="1">
      <c r="A832" s="21" t="str">
        <v/>
      </c>
      <c r="B832" s="22" t="str">
        <v>2.4.2.3.1.4     A OTRAS ENTIDADES PUBLICAS</v>
      </c>
      <c r="C832" s="23" t="str">
        <v/>
      </c>
      <c r="D832" s="24">
        <v>0</v>
      </c>
      <c r="E832" s="24">
        <v>30738</v>
      </c>
      <c r="F832" s="24">
        <v>30738</v>
      </c>
      <c r="G832" s="25">
        <v>30738</v>
      </c>
      <c r="H832" s="25">
        <v>30738</v>
      </c>
      <c r="I832" s="25">
        <v>0</v>
      </c>
      <c r="J832" s="25">
        <v>0</v>
      </c>
      <c r="K832" s="25">
        <v>0</v>
      </c>
      <c r="L832" s="25">
        <v>0</v>
      </c>
      <c r="M832" s="26">
        <f>IF(G832&gt;0,J832/G832,0)</f>
      </c>
    </row>
    <row r="833" ht="14.4" customHeight="1">
      <c r="A833" s="15" t="str">
        <v>0091</v>
      </c>
      <c r="B833" s="16" t="str">
        <v>SERVICIO DE MANTENIMIENTO VIAL RUTINARIO DEL CAMINO VECINAL NO PAVIMENTADO DEL PI-853 TRAMO:EMP.PI-853-(PARIAMARCA ALTO);PI-815 TRAMO:LOS RANCHOS(KM32+063)-JICATE BAJO(KM73+086)(L46.693 KM),DI</v>
      </c>
      <c r="C833" s="17" t="str">
        <v/>
      </c>
      <c r="D833" s="18">
        <v>0</v>
      </c>
      <c r="E833" s="18">
        <v>316191</v>
      </c>
      <c r="F833" s="18">
        <v>316191</v>
      </c>
      <c r="G833" s="19">
        <v>316191</v>
      </c>
      <c r="H833" s="19">
        <v>316191</v>
      </c>
      <c r="I833" s="19">
        <v>0</v>
      </c>
      <c r="J833" s="19">
        <v>0</v>
      </c>
      <c r="K833" s="19">
        <v>0</v>
      </c>
      <c r="L833" s="19">
        <v>0</v>
      </c>
      <c r="M833" s="20">
        <f>IF(G833&gt;0,J833/G833,0)</f>
      </c>
    </row>
    <row r="834" ht="14.4" customHeight="1">
      <c r="A834" s="15" t="str">
        <v/>
      </c>
      <c r="B834" s="16" t="str">
        <v>00 RECURSOS ORDINARIOS</v>
      </c>
      <c r="C834" s="17" t="str">
        <v/>
      </c>
      <c r="D834" s="18">
        <v>0</v>
      </c>
      <c r="E834" s="18">
        <v>316191</v>
      </c>
      <c r="F834" s="18">
        <v>316191</v>
      </c>
      <c r="G834" s="19">
        <v>316191</v>
      </c>
      <c r="H834" s="19">
        <v>316191</v>
      </c>
      <c r="I834" s="19">
        <v>0</v>
      </c>
      <c r="J834" s="19">
        <v>0</v>
      </c>
      <c r="K834" s="19">
        <v>0</v>
      </c>
      <c r="L834" s="19">
        <v>0</v>
      </c>
      <c r="M834" s="20">
        <f>IF(G834&gt;0,J834/G834,0)</f>
      </c>
    </row>
    <row r="835" ht="14.4" customHeight="1">
      <c r="A835" s="21" t="str">
        <v/>
      </c>
      <c r="B835" s="22" t="str">
        <v>2.4.2.3.1.4     A OTRAS ENTIDADES PUBLICAS</v>
      </c>
      <c r="C835" s="23" t="str">
        <v/>
      </c>
      <c r="D835" s="24">
        <v>0</v>
      </c>
      <c r="E835" s="24">
        <v>316191</v>
      </c>
      <c r="F835" s="24">
        <v>316191</v>
      </c>
      <c r="G835" s="25">
        <v>316191</v>
      </c>
      <c r="H835" s="25">
        <v>316191</v>
      </c>
      <c r="I835" s="25">
        <v>0</v>
      </c>
      <c r="J835" s="25">
        <v>0</v>
      </c>
      <c r="K835" s="25">
        <v>0</v>
      </c>
      <c r="L835" s="25">
        <v>0</v>
      </c>
      <c r="M835" s="26">
        <f>IF(G835&gt;0,J835/G835,0)</f>
      </c>
    </row>
    <row r="836" ht="14.4" customHeight="1">
      <c r="A836" s="15" t="str">
        <v>0092</v>
      </c>
      <c r="B836" s="16" t="str">
        <v>SERVICIO DE MANTENIMIENTO VIAL RUTINARIO DEL CAMINO VECINAL NO PAVIMENTADO DEL PI-844 TRAMO: EMP.PE 3N (DV. SAN MIGUEL DE CUMBICUS) - SAN MIGUEL DE CUMBICUS (KM 03+203) (L3.203 KM), DISTRITO D</v>
      </c>
      <c r="C836" s="17" t="str">
        <v/>
      </c>
      <c r="D836" s="18">
        <v>0</v>
      </c>
      <c r="E836" s="18">
        <v>21703</v>
      </c>
      <c r="F836" s="18">
        <v>21703</v>
      </c>
      <c r="G836" s="19">
        <v>21703</v>
      </c>
      <c r="H836" s="19">
        <v>21703</v>
      </c>
      <c r="I836" s="19">
        <v>0</v>
      </c>
      <c r="J836" s="19">
        <v>0</v>
      </c>
      <c r="K836" s="19">
        <v>0</v>
      </c>
      <c r="L836" s="19">
        <v>0</v>
      </c>
      <c r="M836" s="20">
        <f>IF(G836&gt;0,J836/G836,0)</f>
      </c>
    </row>
    <row r="837" ht="14.4" customHeight="1">
      <c r="A837" s="15" t="str">
        <v/>
      </c>
      <c r="B837" s="16" t="str">
        <v>00 RECURSOS ORDINARIOS</v>
      </c>
      <c r="C837" s="17" t="str">
        <v/>
      </c>
      <c r="D837" s="18">
        <v>0</v>
      </c>
      <c r="E837" s="18">
        <v>21703</v>
      </c>
      <c r="F837" s="18">
        <v>21703</v>
      </c>
      <c r="G837" s="19">
        <v>21703</v>
      </c>
      <c r="H837" s="19">
        <v>21703</v>
      </c>
      <c r="I837" s="19">
        <v>0</v>
      </c>
      <c r="J837" s="19">
        <v>0</v>
      </c>
      <c r="K837" s="19">
        <v>0</v>
      </c>
      <c r="L837" s="19">
        <v>0</v>
      </c>
      <c r="M837" s="20">
        <f>IF(G837&gt;0,J837/G837,0)</f>
      </c>
    </row>
    <row r="838" ht="14.4" customHeight="1">
      <c r="A838" s="21" t="str">
        <v/>
      </c>
      <c r="B838" s="22" t="str">
        <v>2.4.2.3.1.4     A OTRAS ENTIDADES PUBLICAS</v>
      </c>
      <c r="C838" s="23" t="str">
        <v/>
      </c>
      <c r="D838" s="24">
        <v>0</v>
      </c>
      <c r="E838" s="24">
        <v>21703</v>
      </c>
      <c r="F838" s="24">
        <v>21703</v>
      </c>
      <c r="G838" s="25">
        <v>21703</v>
      </c>
      <c r="H838" s="25">
        <v>21703</v>
      </c>
      <c r="I838" s="25">
        <v>0</v>
      </c>
      <c r="J838" s="25">
        <v>0</v>
      </c>
      <c r="K838" s="25">
        <v>0</v>
      </c>
      <c r="L838" s="25">
        <v>0</v>
      </c>
      <c r="M838" s="26">
        <f>IF(G838&gt;0,J838/G838,0)</f>
      </c>
    </row>
    <row r="839" ht="14.4" customHeight="1">
      <c r="A839" s="15" t="str">
        <v>0093</v>
      </c>
      <c r="B839" s="16" t="str">
        <v>SERVICIO DE MANTENIMIENTO VIAL RUTINARIO DEL CAMINO VECINAL NO PAVIMENTADO DEL PI-846 TRAMO: EMP. PI-845 - ALIGUAY - COMENDEROS BAJO (KM 02+703) (L2.703 KM), DISTRITO DE HUANCABAMBA - HUANCABA</v>
      </c>
      <c r="C839" s="17" t="str">
        <v/>
      </c>
      <c r="D839" s="18">
        <v>0</v>
      </c>
      <c r="E839" s="18">
        <v>18293</v>
      </c>
      <c r="F839" s="18">
        <v>18293</v>
      </c>
      <c r="G839" s="19">
        <v>18293</v>
      </c>
      <c r="H839" s="19">
        <v>18293</v>
      </c>
      <c r="I839" s="19">
        <v>0</v>
      </c>
      <c r="J839" s="19">
        <v>0</v>
      </c>
      <c r="K839" s="19">
        <v>0</v>
      </c>
      <c r="L839" s="19">
        <v>0</v>
      </c>
      <c r="M839" s="20">
        <f>IF(G839&gt;0,J839/G839,0)</f>
      </c>
    </row>
    <row r="840" ht="14.4" customHeight="1">
      <c r="A840" s="15" t="str">
        <v/>
      </c>
      <c r="B840" s="16" t="str">
        <v>00 RECURSOS ORDINARIOS</v>
      </c>
      <c r="C840" s="17" t="str">
        <v/>
      </c>
      <c r="D840" s="18">
        <v>0</v>
      </c>
      <c r="E840" s="18">
        <v>18293</v>
      </c>
      <c r="F840" s="18">
        <v>18293</v>
      </c>
      <c r="G840" s="19">
        <v>18293</v>
      </c>
      <c r="H840" s="19">
        <v>18293</v>
      </c>
      <c r="I840" s="19">
        <v>0</v>
      </c>
      <c r="J840" s="19">
        <v>0</v>
      </c>
      <c r="K840" s="19">
        <v>0</v>
      </c>
      <c r="L840" s="19">
        <v>0</v>
      </c>
      <c r="M840" s="20">
        <f>IF(G840&gt;0,J840/G840,0)</f>
      </c>
    </row>
    <row r="841" ht="14.4" customHeight="1">
      <c r="A841" s="21" t="str">
        <v/>
      </c>
      <c r="B841" s="22" t="str">
        <v>2.4.2.3.1.4     A OTRAS ENTIDADES PUBLICAS</v>
      </c>
      <c r="C841" s="23" t="str">
        <v/>
      </c>
      <c r="D841" s="24">
        <v>0</v>
      </c>
      <c r="E841" s="24">
        <v>18293</v>
      </c>
      <c r="F841" s="24">
        <v>18293</v>
      </c>
      <c r="G841" s="25">
        <v>18293</v>
      </c>
      <c r="H841" s="25">
        <v>18293</v>
      </c>
      <c r="I841" s="25">
        <v>0</v>
      </c>
      <c r="J841" s="25">
        <v>0</v>
      </c>
      <c r="K841" s="25">
        <v>0</v>
      </c>
      <c r="L841" s="25">
        <v>0</v>
      </c>
      <c r="M841" s="26">
        <f>IF(G841&gt;0,J841/G841,0)</f>
      </c>
    </row>
    <row r="842" ht="14.4" customHeight="1">
      <c r="A842" s="15" t="str">
        <v>0094</v>
      </c>
      <c r="B842" s="16" t="str">
        <v>SERVICIO DE MANTENIMIENTO VIAL RUTINARIO DEL CAMINO VECINAL NO PAVIMENTADO DEL PI-853TRAMO:(LA PERLA)(KM1+592).PI-856(KM 27+692).PI-853.PI-856.PI-853-(JACOCHA).PI-856.PI-853(PUENTECHULA).PI-85</v>
      </c>
      <c r="C842" s="17" t="str">
        <v/>
      </c>
      <c r="D842" s="18">
        <v>0</v>
      </c>
      <c r="E842" s="18">
        <v>306241</v>
      </c>
      <c r="F842" s="18">
        <v>306241</v>
      </c>
      <c r="G842" s="19">
        <v>306241</v>
      </c>
      <c r="H842" s="19">
        <v>306241</v>
      </c>
      <c r="I842" s="19">
        <v>0</v>
      </c>
      <c r="J842" s="19">
        <v>0</v>
      </c>
      <c r="K842" s="19">
        <v>0</v>
      </c>
      <c r="L842" s="19">
        <v>0</v>
      </c>
      <c r="M842" s="20">
        <f>IF(G842&gt;0,J842/G842,0)</f>
      </c>
    </row>
    <row r="843" ht="14.4" customHeight="1">
      <c r="A843" s="15" t="str">
        <v/>
      </c>
      <c r="B843" s="16" t="str">
        <v>00 RECURSOS ORDINARIOS</v>
      </c>
      <c r="C843" s="17" t="str">
        <v/>
      </c>
      <c r="D843" s="18">
        <v>0</v>
      </c>
      <c r="E843" s="18">
        <v>306241</v>
      </c>
      <c r="F843" s="18">
        <v>306241</v>
      </c>
      <c r="G843" s="19">
        <v>306241</v>
      </c>
      <c r="H843" s="19">
        <v>306241</v>
      </c>
      <c r="I843" s="19">
        <v>0</v>
      </c>
      <c r="J843" s="19">
        <v>0</v>
      </c>
      <c r="K843" s="19">
        <v>0</v>
      </c>
      <c r="L843" s="19">
        <v>0</v>
      </c>
      <c r="M843" s="20">
        <f>IF(G843&gt;0,J843/G843,0)</f>
      </c>
    </row>
    <row r="844" ht="14.4" customHeight="1">
      <c r="A844" s="21" t="str">
        <v/>
      </c>
      <c r="B844" s="22" t="str">
        <v>2.4.2.3.1.4     A OTRAS ENTIDADES PUBLICAS</v>
      </c>
      <c r="C844" s="23" t="str">
        <v/>
      </c>
      <c r="D844" s="24">
        <v>0</v>
      </c>
      <c r="E844" s="24">
        <v>306241</v>
      </c>
      <c r="F844" s="24">
        <v>306241</v>
      </c>
      <c r="G844" s="25">
        <v>306241</v>
      </c>
      <c r="H844" s="25">
        <v>306241</v>
      </c>
      <c r="I844" s="25">
        <v>0</v>
      </c>
      <c r="J844" s="25">
        <v>0</v>
      </c>
      <c r="K844" s="25">
        <v>0</v>
      </c>
      <c r="L844" s="25">
        <v>0</v>
      </c>
      <c r="M844" s="26">
        <f>IF(G844&gt;0,J844/G844,0)</f>
      </c>
    </row>
    <row r="845" ht="14.4" customHeight="1">
      <c r="A845" s="15" t="str">
        <v>0095</v>
      </c>
      <c r="B845" s="16" t="str">
        <v>SERVICIO DE MANTENIMIENTO VIAL RUTINARIO DEL CAMINO VECINAL NO PAVIMENTADO DEL PI-851 TRAMO:EMP.PE-3N (DV.SOCCHAPAMPA)-SOCCHAPAMPA (KM 02+113); R200322 TRAMO: EMP. PI-851 (SOCCHAPAMPA) - DISTR</v>
      </c>
      <c r="C845" s="17" t="str">
        <v/>
      </c>
      <c r="D845" s="18">
        <v>0</v>
      </c>
      <c r="E845" s="18">
        <v>34531</v>
      </c>
      <c r="F845" s="18">
        <v>34531</v>
      </c>
      <c r="G845" s="19">
        <v>34531</v>
      </c>
      <c r="H845" s="19">
        <v>34531</v>
      </c>
      <c r="I845" s="19">
        <v>0</v>
      </c>
      <c r="J845" s="19">
        <v>0</v>
      </c>
      <c r="K845" s="19">
        <v>0</v>
      </c>
      <c r="L845" s="19">
        <v>0</v>
      </c>
      <c r="M845" s="20">
        <f>IF(G845&gt;0,J845/G845,0)</f>
      </c>
    </row>
    <row r="846" ht="14.4" customHeight="1">
      <c r="A846" s="15" t="str">
        <v/>
      </c>
      <c r="B846" s="16" t="str">
        <v>00 RECURSOS ORDINARIOS</v>
      </c>
      <c r="C846" s="17" t="str">
        <v/>
      </c>
      <c r="D846" s="18">
        <v>0</v>
      </c>
      <c r="E846" s="18">
        <v>34531</v>
      </c>
      <c r="F846" s="18">
        <v>34531</v>
      </c>
      <c r="G846" s="19">
        <v>34531</v>
      </c>
      <c r="H846" s="19">
        <v>34531</v>
      </c>
      <c r="I846" s="19">
        <v>0</v>
      </c>
      <c r="J846" s="19">
        <v>0</v>
      </c>
      <c r="K846" s="19">
        <v>0</v>
      </c>
      <c r="L846" s="19">
        <v>0</v>
      </c>
      <c r="M846" s="20">
        <f>IF(G846&gt;0,J846/G846,0)</f>
      </c>
    </row>
    <row r="847" ht="14.4" customHeight="1">
      <c r="A847" s="21" t="str">
        <v/>
      </c>
      <c r="B847" s="22" t="str">
        <v>2.4.2.3.1.4     A OTRAS ENTIDADES PUBLICAS</v>
      </c>
      <c r="C847" s="23" t="str">
        <v/>
      </c>
      <c r="D847" s="24">
        <v>0</v>
      </c>
      <c r="E847" s="24">
        <v>34531</v>
      </c>
      <c r="F847" s="24">
        <v>34531</v>
      </c>
      <c r="G847" s="25">
        <v>34531</v>
      </c>
      <c r="H847" s="25">
        <v>34531</v>
      </c>
      <c r="I847" s="25">
        <v>0</v>
      </c>
      <c r="J847" s="25">
        <v>0</v>
      </c>
      <c r="K847" s="25">
        <v>0</v>
      </c>
      <c r="L847" s="25">
        <v>0</v>
      </c>
      <c r="M847" s="26">
        <f>IF(G847&gt;0,J847/G847,0)</f>
      </c>
    </row>
    <row r="848" ht="14.4" customHeight="1">
      <c r="A848" s="15" t="str">
        <v>0096</v>
      </c>
      <c r="B848" s="16" t="str">
        <v>REHABILITACION DEL SISTEMA DE SANEAMIENTO BASICO DE LA LOCALIDAD DE EL TAMBO DEL DISTRITO DE HUANCABAMBA, HUANCABAMBA,PIURA</v>
      </c>
      <c r="C848" s="17" t="str">
        <v/>
      </c>
      <c r="D848" s="18">
        <v>0</v>
      </c>
      <c r="E848" s="18">
        <v>23730</v>
      </c>
      <c r="F848" s="18">
        <v>23730</v>
      </c>
      <c r="G848" s="19">
        <v>23729.8</v>
      </c>
      <c r="H848" s="19">
        <v>0</v>
      </c>
      <c r="I848" s="19">
        <v>23729.8</v>
      </c>
      <c r="J848" s="19">
        <v>23729.8</v>
      </c>
      <c r="K848" s="19">
        <v>0</v>
      </c>
      <c r="L848" s="19">
        <v>0</v>
      </c>
      <c r="M848" s="20">
        <f>IF(G848&gt;0,J848/G848,0)</f>
      </c>
    </row>
    <row r="849" ht="14.4" customHeight="1">
      <c r="A849" s="15" t="str">
        <v/>
      </c>
      <c r="B849" s="16" t="str">
        <v>18 CANON Y SOBRECANON, REGALIAS, RENTA DE ADUANAS Y PARTICIPACIONES</v>
      </c>
      <c r="C849" s="17" t="str">
        <v/>
      </c>
      <c r="D849" s="18">
        <v>0</v>
      </c>
      <c r="E849" s="18">
        <v>23730</v>
      </c>
      <c r="F849" s="18">
        <v>23730</v>
      </c>
      <c r="G849" s="19">
        <v>23729.8</v>
      </c>
      <c r="H849" s="19">
        <v>0</v>
      </c>
      <c r="I849" s="19">
        <v>23729.8</v>
      </c>
      <c r="J849" s="19">
        <v>23729.8</v>
      </c>
      <c r="K849" s="19">
        <v>0</v>
      </c>
      <c r="L849" s="19">
        <v>0</v>
      </c>
      <c r="M849" s="20">
        <f>IF(G849&gt;0,J849/G849,0)</f>
      </c>
    </row>
    <row r="850" ht="14.4" customHeight="1">
      <c r="A850" s="21" t="str">
        <v/>
      </c>
      <c r="B850" s="22" t="str">
        <v>2.6.2.3.5.2     COSTO DE CONSTRUCCION POR CONTRATA</v>
      </c>
      <c r="C850" s="23" t="str">
        <v/>
      </c>
      <c r="D850" s="24">
        <v>0</v>
      </c>
      <c r="E850" s="24">
        <v>23730</v>
      </c>
      <c r="F850" s="24">
        <v>23730</v>
      </c>
      <c r="G850" s="25">
        <v>23729.8</v>
      </c>
      <c r="H850" s="25">
        <v>0</v>
      </c>
      <c r="I850" s="25">
        <v>23729.8</v>
      </c>
      <c r="J850" s="25">
        <v>23729.8</v>
      </c>
      <c r="K850" s="25">
        <v>0</v>
      </c>
      <c r="L850" s="25">
        <v>0</v>
      </c>
      <c r="M850" s="26">
        <f>IF(G850&gt;0,J850/G850,0)</f>
      </c>
    </row>
    <row r="851" ht="14.4" customHeight="1">
      <c r="A851" s="15" t="str">
        <v>0097</v>
      </c>
      <c r="B851" s="16" t="str">
        <v>CONSTRUCCION DE CAMPOS DEPORTIVOS</v>
      </c>
      <c r="C851" s="17" t="str">
        <v/>
      </c>
      <c r="D851" s="18">
        <v>0</v>
      </c>
      <c r="E851" s="18">
        <v>644393</v>
      </c>
      <c r="F851" s="18">
        <v>644393</v>
      </c>
      <c r="G851" s="19">
        <v>613707.47</v>
      </c>
      <c r="H851" s="19">
        <v>0</v>
      </c>
      <c r="I851" s="19">
        <v>0</v>
      </c>
      <c r="J851" s="19">
        <v>0</v>
      </c>
      <c r="K851" s="19">
        <v>0</v>
      </c>
      <c r="L851" s="19">
        <v>0</v>
      </c>
      <c r="M851" s="20">
        <f>IF(G851&gt;0,J851/G851,0)</f>
      </c>
    </row>
    <row r="852" ht="14.4" customHeight="1">
      <c r="A852" s="15" t="str">
        <v/>
      </c>
      <c r="B852" s="16" t="str">
        <v>07 FONDO DE COMPENSACION MUNICIPAL</v>
      </c>
      <c r="C852" s="17" t="str">
        <v/>
      </c>
      <c r="D852" s="18">
        <v>0</v>
      </c>
      <c r="E852" s="18">
        <v>644393</v>
      </c>
      <c r="F852" s="18">
        <v>644393</v>
      </c>
      <c r="G852" s="19">
        <v>0</v>
      </c>
      <c r="H852" s="19">
        <v>0</v>
      </c>
      <c r="I852" s="19">
        <v>0</v>
      </c>
      <c r="J852" s="19">
        <v>0</v>
      </c>
      <c r="K852" s="19">
        <v>0</v>
      </c>
      <c r="L852" s="19">
        <v>0</v>
      </c>
      <c r="M852" s="20">
        <f>IF(G852&gt;0,J852/G852,0)</f>
      </c>
    </row>
    <row r="853" ht="14.4" customHeight="1">
      <c r="A853" s="21" t="str">
        <v/>
      </c>
      <c r="B853" s="22" t="str">
        <v>2.6.2.3.99.2     COSTO DE CONSTRUCCION POR CONTRATA</v>
      </c>
      <c r="C853" s="23" t="str">
        <v/>
      </c>
      <c r="D853" s="24">
        <v>0</v>
      </c>
      <c r="E853" s="24">
        <v>613708</v>
      </c>
      <c r="F853" s="24">
        <v>613708</v>
      </c>
      <c r="G853" s="25">
        <v>0</v>
      </c>
      <c r="H853" s="25">
        <v>0</v>
      </c>
      <c r="I853" s="25">
        <v>0</v>
      </c>
      <c r="J853" s="25">
        <v>0</v>
      </c>
      <c r="K853" s="25">
        <v>0</v>
      </c>
      <c r="L853" s="25">
        <v>0</v>
      </c>
      <c r="M853" s="26">
        <f>IF(G853&gt;0,J853/G853,0)</f>
      </c>
    </row>
    <row r="854" ht="14.4" customHeight="1">
      <c r="A854" s="21" t="str">
        <v/>
      </c>
      <c r="B854" s="22" t="str">
        <v>2.6.8.1.3.1     ELABORACION DE EXPEDIENTES TECNICOS</v>
      </c>
      <c r="C854" s="23" t="str">
        <v/>
      </c>
      <c r="D854" s="24">
        <v>0</v>
      </c>
      <c r="E854" s="24">
        <v>0</v>
      </c>
      <c r="F854" s="24">
        <v>0</v>
      </c>
      <c r="G854" s="25">
        <v>0</v>
      </c>
      <c r="H854" s="25">
        <v>0</v>
      </c>
      <c r="I854" s="25">
        <v>0</v>
      </c>
      <c r="J854" s="25">
        <v>0</v>
      </c>
      <c r="K854" s="25">
        <v>0</v>
      </c>
      <c r="L854" s="25">
        <v>0</v>
      </c>
      <c r="M854" s="26">
        <f>IF(G854&gt;0,J854/G854,0)</f>
      </c>
    </row>
    <row r="855" ht="14.4" customHeight="1">
      <c r="A855" s="21" t="str">
        <v/>
      </c>
      <c r="B855" s="22" t="str">
        <v>2.6.8.1.4.3     GASTO POR LA CONTRATACION DE SERVICIOS</v>
      </c>
      <c r="C855" s="23" t="str">
        <v/>
      </c>
      <c r="D855" s="24">
        <v>0</v>
      </c>
      <c r="E855" s="24">
        <v>30685</v>
      </c>
      <c r="F855" s="24">
        <v>30685</v>
      </c>
      <c r="G855" s="25">
        <v>0</v>
      </c>
      <c r="H855" s="25">
        <v>0</v>
      </c>
      <c r="I855" s="25">
        <v>0</v>
      </c>
      <c r="J855" s="25">
        <v>0</v>
      </c>
      <c r="K855" s="25">
        <v>0</v>
      </c>
      <c r="L855" s="25">
        <v>0</v>
      </c>
      <c r="M855" s="26">
        <f>IF(G855&gt;0,J855/G855,0)</f>
      </c>
    </row>
    <row r="856" ht="14.4" customHeight="1">
      <c r="A856" s="15" t="str">
        <v/>
      </c>
      <c r="B856" s="16" t="str">
        <v>18 CANON Y SOBRECANON, REGALIAS, RENTA DE ADUANAS Y PARTICIPACIONES</v>
      </c>
      <c r="C856" s="17" t="str">
        <v/>
      </c>
      <c r="D856" s="18">
        <v>0</v>
      </c>
      <c r="E856" s="18">
        <v>0</v>
      </c>
      <c r="F856" s="18">
        <v>0</v>
      </c>
      <c r="G856" s="19">
        <v>613707.47</v>
      </c>
      <c r="H856" s="19">
        <v>0</v>
      </c>
      <c r="I856" s="19">
        <v>0</v>
      </c>
      <c r="J856" s="19">
        <v>0</v>
      </c>
      <c r="K856" s="19">
        <v>0</v>
      </c>
      <c r="L856" s="19">
        <v>0</v>
      </c>
      <c r="M856" s="20">
        <f>IF(G856&gt;0,J856/G856,0)</f>
      </c>
    </row>
    <row r="857" ht="14.4" customHeight="1">
      <c r="A857" s="21" t="str">
        <v/>
      </c>
      <c r="B857" s="22" t="str">
        <v>2.6.2.3.99.2     COSTO DE CONSTRUCCION POR CONTRATA</v>
      </c>
      <c r="C857" s="23" t="str">
        <v/>
      </c>
      <c r="D857" s="24">
        <v>0</v>
      </c>
      <c r="E857" s="24">
        <v>0</v>
      </c>
      <c r="F857" s="24">
        <v>0</v>
      </c>
      <c r="G857" s="25">
        <v>613707.47</v>
      </c>
      <c r="H857" s="25">
        <v>0</v>
      </c>
      <c r="I857" s="25">
        <v>0</v>
      </c>
      <c r="J857" s="25">
        <v>0</v>
      </c>
      <c r="K857" s="25">
        <v>0</v>
      </c>
      <c r="L857" s="25">
        <v>0</v>
      </c>
      <c r="M857" s="26">
        <f>IF(G857&gt;0,J857/G857,0)</f>
      </c>
    </row>
    <row r="858" ht="14.4" customHeight="1">
      <c r="A858" s="21" t="str">
        <v/>
      </c>
      <c r="B858" s="22" t="str">
        <v>2.6.8.1.4.3     GASTO POR LA CONTRATACION DE SERVICIOS</v>
      </c>
      <c r="C858" s="23" t="str">
        <v/>
      </c>
      <c r="D858" s="24">
        <v>0</v>
      </c>
      <c r="E858" s="24">
        <v>0</v>
      </c>
      <c r="F858" s="24">
        <v>0</v>
      </c>
      <c r="G858" s="25">
        <v>0</v>
      </c>
      <c r="H858" s="25">
        <v>0</v>
      </c>
      <c r="I858" s="25">
        <v>0</v>
      </c>
      <c r="J858" s="25">
        <v>0</v>
      </c>
      <c r="K858" s="25">
        <v>0</v>
      </c>
      <c r="L858" s="25">
        <v>0</v>
      </c>
      <c r="M858" s="26">
        <f>IF(G858&gt;0,J858/G858,0)</f>
      </c>
    </row>
    <row r="859" ht="14.4" customHeight="1">
      <c r="A859" s="15" t="str">
        <v>0098</v>
      </c>
      <c r="B859" s="16" t="str">
        <v>CONSTRUCCION DE CAMPOS DEPORTIVOS</v>
      </c>
      <c r="C859" s="17" t="str">
        <v/>
      </c>
      <c r="D859" s="18">
        <v>0</v>
      </c>
      <c r="E859" s="18">
        <v>880624</v>
      </c>
      <c r="F859" s="18">
        <v>880624</v>
      </c>
      <c r="G859" s="19">
        <v>0</v>
      </c>
      <c r="H859" s="19">
        <v>0</v>
      </c>
      <c r="I859" s="19">
        <v>43085</v>
      </c>
      <c r="J859" s="19">
        <v>0</v>
      </c>
      <c r="K859" s="19">
        <v>0</v>
      </c>
      <c r="L859" s="19">
        <v>0</v>
      </c>
      <c r="M859" s="20">
        <f>IF(G859&gt;0,J859/G859,0)</f>
      </c>
    </row>
    <row r="860" ht="14.4" customHeight="1">
      <c r="A860" s="15" t="str">
        <v/>
      </c>
      <c r="B860" s="16" t="str">
        <v>07 FONDO DE COMPENSACION MUNICIPAL</v>
      </c>
      <c r="C860" s="17" t="str">
        <v/>
      </c>
      <c r="D860" s="18">
        <v>0</v>
      </c>
      <c r="E860" s="18">
        <v>880624</v>
      </c>
      <c r="F860" s="18">
        <v>880624</v>
      </c>
      <c r="G860" s="19">
        <v>0</v>
      </c>
      <c r="H860" s="19">
        <v>0</v>
      </c>
      <c r="I860" s="19">
        <v>43085</v>
      </c>
      <c r="J860" s="19">
        <v>0</v>
      </c>
      <c r="K860" s="19">
        <v>0</v>
      </c>
      <c r="L860" s="19">
        <v>0</v>
      </c>
      <c r="M860" s="20">
        <f>IF(G860&gt;0,J860/G860,0)</f>
      </c>
    </row>
    <row r="861" ht="14.4" customHeight="1">
      <c r="A861" s="21" t="str">
        <v/>
      </c>
      <c r="B861" s="22" t="str">
        <v>2.6.2.3.99.2     COSTO DE CONSTRUCCION POR CONTRATA</v>
      </c>
      <c r="C861" s="23" t="str">
        <v/>
      </c>
      <c r="D861" s="24">
        <v>0</v>
      </c>
      <c r="E861" s="24">
        <v>800000</v>
      </c>
      <c r="F861" s="24">
        <v>800000</v>
      </c>
      <c r="G861" s="25">
        <v>0</v>
      </c>
      <c r="H861" s="25">
        <v>0</v>
      </c>
      <c r="I861" s="25">
        <v>0</v>
      </c>
      <c r="J861" s="25">
        <v>0</v>
      </c>
      <c r="K861" s="25">
        <v>0</v>
      </c>
      <c r="L861" s="25">
        <v>0</v>
      </c>
      <c r="M861" s="26">
        <f>IF(G861&gt;0,J861/G861,0)</f>
      </c>
    </row>
    <row r="862" ht="14.4" customHeight="1">
      <c r="A862" s="21" t="str">
        <v/>
      </c>
      <c r="B862" s="22" t="str">
        <v>2.6.8.1.3.1     ELABORACION DE EXPEDIENTES TECNICOS</v>
      </c>
      <c r="C862" s="23" t="str">
        <v/>
      </c>
      <c r="D862" s="24">
        <v>0</v>
      </c>
      <c r="E862" s="24">
        <v>43088</v>
      </c>
      <c r="F862" s="24">
        <v>43088</v>
      </c>
      <c r="G862" s="25">
        <v>0</v>
      </c>
      <c r="H862" s="25">
        <v>0</v>
      </c>
      <c r="I862" s="25">
        <v>43085</v>
      </c>
      <c r="J862" s="25">
        <v>0</v>
      </c>
      <c r="K862" s="25">
        <v>0</v>
      </c>
      <c r="L862" s="25">
        <v>0</v>
      </c>
      <c r="M862" s="26">
        <f>IF(G862&gt;0,J862/G862,0)</f>
      </c>
    </row>
    <row r="863" ht="14.4" customHeight="1">
      <c r="A863" s="21" t="str">
        <v/>
      </c>
      <c r="B863" s="22" t="str">
        <v>2.6.8.1.4.3     GASTO POR LA CONTRATACION DE SERVICIOS</v>
      </c>
      <c r="C863" s="23" t="str">
        <v/>
      </c>
      <c r="D863" s="24">
        <v>0</v>
      </c>
      <c r="E863" s="24">
        <v>37536</v>
      </c>
      <c r="F863" s="24">
        <v>37536</v>
      </c>
      <c r="G863" s="25">
        <v>0</v>
      </c>
      <c r="H863" s="25">
        <v>0</v>
      </c>
      <c r="I863" s="25">
        <v>0</v>
      </c>
      <c r="J863" s="25">
        <v>0</v>
      </c>
      <c r="K863" s="25">
        <v>0</v>
      </c>
      <c r="L863" s="25">
        <v>0</v>
      </c>
      <c r="M863" s="26">
        <f>IF(G863&gt;0,J863/G863,0)</f>
      </c>
    </row>
    <row r="864" ht="14.4" customHeight="1">
      <c r="A864" s="15" t="str">
        <v>0099</v>
      </c>
      <c r="B864" s="16" t="str">
        <v>CONSTRUCCION Y EQUIPAMIENTO DE LOCAL MUNICIPAL</v>
      </c>
      <c r="C864" s="17" t="str">
        <v/>
      </c>
      <c r="D864" s="18">
        <v>0</v>
      </c>
      <c r="E864" s="18">
        <v>833663</v>
      </c>
      <c r="F864" s="18">
        <v>833663</v>
      </c>
      <c r="G864" s="19">
        <v>0</v>
      </c>
      <c r="H864" s="19">
        <v>0</v>
      </c>
      <c r="I864" s="19">
        <v>43087</v>
      </c>
      <c r="J864" s="19">
        <v>0</v>
      </c>
      <c r="K864" s="19">
        <v>0</v>
      </c>
      <c r="L864" s="19">
        <v>0</v>
      </c>
      <c r="M864" s="20">
        <f>IF(G864&gt;0,J864/G864,0)</f>
      </c>
    </row>
    <row r="865" ht="14.4" customHeight="1">
      <c r="A865" s="15" t="str">
        <v/>
      </c>
      <c r="B865" s="16" t="str">
        <v>07 FONDO DE COMPENSACION MUNICIPAL</v>
      </c>
      <c r="C865" s="17" t="str">
        <v/>
      </c>
      <c r="D865" s="18">
        <v>0</v>
      </c>
      <c r="E865" s="18">
        <v>833663</v>
      </c>
      <c r="F865" s="18">
        <v>833663</v>
      </c>
      <c r="G865" s="19">
        <v>0</v>
      </c>
      <c r="H865" s="19">
        <v>0</v>
      </c>
      <c r="I865" s="19">
        <v>43087</v>
      </c>
      <c r="J865" s="19">
        <v>0</v>
      </c>
      <c r="K865" s="19">
        <v>0</v>
      </c>
      <c r="L865" s="19">
        <v>0</v>
      </c>
      <c r="M865" s="20">
        <f>IF(G865&gt;0,J865/G865,0)</f>
      </c>
    </row>
    <row r="866" ht="14.4" customHeight="1">
      <c r="A866" s="21" t="str">
        <v/>
      </c>
      <c r="B866" s="22" t="str">
        <v>2.6.2.3.99.2     COSTO DE CONSTRUCCION POR CONTRATA</v>
      </c>
      <c r="C866" s="23" t="str">
        <v/>
      </c>
      <c r="D866" s="24">
        <v>0</v>
      </c>
      <c r="E866" s="24">
        <v>745663</v>
      </c>
      <c r="F866" s="24">
        <v>745663</v>
      </c>
      <c r="G866" s="25">
        <v>0</v>
      </c>
      <c r="H866" s="25">
        <v>0</v>
      </c>
      <c r="I866" s="25">
        <v>0</v>
      </c>
      <c r="J866" s="25">
        <v>0</v>
      </c>
      <c r="K866" s="25">
        <v>0</v>
      </c>
      <c r="L866" s="25">
        <v>0</v>
      </c>
      <c r="M866" s="26">
        <f>IF(G866&gt;0,J866/G866,0)</f>
      </c>
    </row>
    <row r="867" ht="14.4" customHeight="1">
      <c r="A867" s="21" t="str">
        <v/>
      </c>
      <c r="B867" s="22" t="str">
        <v>2.6.8.1.3.1     ELABORACION DE EXPEDIENTES TECNICOS</v>
      </c>
      <c r="C867" s="23" t="str">
        <v/>
      </c>
      <c r="D867" s="24">
        <v>0</v>
      </c>
      <c r="E867" s="24">
        <v>43088</v>
      </c>
      <c r="F867" s="24">
        <v>43088</v>
      </c>
      <c r="G867" s="25">
        <v>0</v>
      </c>
      <c r="H867" s="25">
        <v>0</v>
      </c>
      <c r="I867" s="25">
        <v>43087</v>
      </c>
      <c r="J867" s="25">
        <v>0</v>
      </c>
      <c r="K867" s="25">
        <v>0</v>
      </c>
      <c r="L867" s="25">
        <v>0</v>
      </c>
      <c r="M867" s="26">
        <f>IF(G867&gt;0,J867/G867,0)</f>
      </c>
    </row>
    <row r="868" ht="14.4" customHeight="1">
      <c r="A868" s="21" t="str">
        <v/>
      </c>
      <c r="B868" s="22" t="str">
        <v>2.6.8.1.4.3     GASTO POR LA CONTRATACION DE SERVICIOS</v>
      </c>
      <c r="C868" s="23" t="str">
        <v/>
      </c>
      <c r="D868" s="24">
        <v>0</v>
      </c>
      <c r="E868" s="24">
        <v>44912</v>
      </c>
      <c r="F868" s="24">
        <v>44912</v>
      </c>
      <c r="G868" s="25">
        <v>0</v>
      </c>
      <c r="H868" s="25">
        <v>0</v>
      </c>
      <c r="I868" s="25">
        <v>0</v>
      </c>
      <c r="J868" s="25">
        <v>0</v>
      </c>
      <c r="K868" s="25">
        <v>0</v>
      </c>
      <c r="L868" s="25">
        <v>0</v>
      </c>
      <c r="M868" s="26">
        <f>IF(G868&gt;0,J868/G868,0)</f>
      </c>
    </row>
    <row r="869" ht="14.4" customHeight="1">
      <c r="A869" s="15" t="str">
        <v>0100</v>
      </c>
      <c r="B869" s="16" t="str">
        <v>CONSTRUCCION Y EQUIPAMIENTO DE LOCAL COMUNAL</v>
      </c>
      <c r="C869" s="17" t="str">
        <v/>
      </c>
      <c r="D869" s="18">
        <v>0</v>
      </c>
      <c r="E869" s="18">
        <v>43088</v>
      </c>
      <c r="F869" s="18">
        <v>43088</v>
      </c>
      <c r="G869" s="19">
        <v>0</v>
      </c>
      <c r="H869" s="19">
        <v>0</v>
      </c>
      <c r="I869" s="19">
        <v>43087.7</v>
      </c>
      <c r="J869" s="19">
        <v>0</v>
      </c>
      <c r="K869" s="19">
        <v>0</v>
      </c>
      <c r="L869" s="19">
        <v>0</v>
      </c>
      <c r="M869" s="20">
        <f>IF(G869&gt;0,J869/G869,0)</f>
      </c>
    </row>
    <row r="870" ht="14.4" customHeight="1">
      <c r="A870" s="15" t="str">
        <v/>
      </c>
      <c r="B870" s="16" t="str">
        <v>07 FONDO DE COMPENSACION MUNICIPAL</v>
      </c>
      <c r="C870" s="17" t="str">
        <v/>
      </c>
      <c r="D870" s="18">
        <v>0</v>
      </c>
      <c r="E870" s="18">
        <v>43088</v>
      </c>
      <c r="F870" s="18">
        <v>43088</v>
      </c>
      <c r="G870" s="19">
        <v>0</v>
      </c>
      <c r="H870" s="19">
        <v>0</v>
      </c>
      <c r="I870" s="19">
        <v>43087.7</v>
      </c>
      <c r="J870" s="19">
        <v>0</v>
      </c>
      <c r="K870" s="19">
        <v>0</v>
      </c>
      <c r="L870" s="19">
        <v>0</v>
      </c>
      <c r="M870" s="20">
        <f>IF(G870&gt;0,J870/G870,0)</f>
      </c>
    </row>
    <row r="871" ht="14.4" customHeight="1">
      <c r="A871" s="21" t="str">
        <v/>
      </c>
      <c r="B871" s="22" t="str">
        <v>2.6.8.1.3.1     ELABORACION DE EXPEDIENTES TECNICOS</v>
      </c>
      <c r="C871" s="23" t="str">
        <v/>
      </c>
      <c r="D871" s="24">
        <v>0</v>
      </c>
      <c r="E871" s="24">
        <v>43088</v>
      </c>
      <c r="F871" s="24">
        <v>43088</v>
      </c>
      <c r="G871" s="25">
        <v>0</v>
      </c>
      <c r="H871" s="25">
        <v>0</v>
      </c>
      <c r="I871" s="25">
        <v>43087.7</v>
      </c>
      <c r="J871" s="25">
        <v>0</v>
      </c>
      <c r="K871" s="25">
        <v>0</v>
      </c>
      <c r="L871" s="25">
        <v>0</v>
      </c>
      <c r="M871" s="26">
        <f>IF(G871&gt;0,J871/G871,0)</f>
      </c>
    </row>
    <row r="872" ht="14.4" customHeight="1">
      <c r="A872" s="15" t="str">
        <v>0101</v>
      </c>
      <c r="B872" s="16" t="str">
        <v>CONSTRUCCION DE CAMPOS DEPORTIVOS</v>
      </c>
      <c r="C872" s="17" t="str">
        <v/>
      </c>
      <c r="D872" s="18">
        <v>0</v>
      </c>
      <c r="E872" s="18">
        <v>767088</v>
      </c>
      <c r="F872" s="18">
        <v>767088</v>
      </c>
      <c r="G872" s="19">
        <v>732487.18</v>
      </c>
      <c r="H872" s="19">
        <v>0</v>
      </c>
      <c r="I872" s="19">
        <v>0</v>
      </c>
      <c r="J872" s="19">
        <v>0</v>
      </c>
      <c r="K872" s="19">
        <v>0</v>
      </c>
      <c r="L872" s="19">
        <v>0</v>
      </c>
      <c r="M872" s="20">
        <f>IF(G872&gt;0,J872/G872,0)</f>
      </c>
    </row>
    <row r="873" ht="14.4" customHeight="1">
      <c r="A873" s="15" t="str">
        <v/>
      </c>
      <c r="B873" s="16" t="str">
        <v>07 FONDO DE COMPENSACION MUNICIPAL</v>
      </c>
      <c r="C873" s="17" t="str">
        <v/>
      </c>
      <c r="D873" s="18">
        <v>0</v>
      </c>
      <c r="E873" s="18">
        <v>767088</v>
      </c>
      <c r="F873" s="18">
        <v>767088</v>
      </c>
      <c r="G873" s="19">
        <v>0</v>
      </c>
      <c r="H873" s="19">
        <v>0</v>
      </c>
      <c r="I873" s="19">
        <v>0</v>
      </c>
      <c r="J873" s="19">
        <v>0</v>
      </c>
      <c r="K873" s="19">
        <v>0</v>
      </c>
      <c r="L873" s="19">
        <v>0</v>
      </c>
      <c r="M873" s="20">
        <f>IF(G873&gt;0,J873/G873,0)</f>
      </c>
    </row>
    <row r="874" ht="14.4" customHeight="1">
      <c r="A874" s="21" t="str">
        <v/>
      </c>
      <c r="B874" s="22" t="str">
        <v>2.6.2.3.99.2     COSTO DE CONSTRUCCION POR CONTRATA</v>
      </c>
      <c r="C874" s="23" t="str">
        <v/>
      </c>
      <c r="D874" s="24">
        <v>0</v>
      </c>
      <c r="E874" s="24">
        <v>732488</v>
      </c>
      <c r="F874" s="24">
        <v>732488</v>
      </c>
      <c r="G874" s="25">
        <v>0</v>
      </c>
      <c r="H874" s="25">
        <v>0</v>
      </c>
      <c r="I874" s="25">
        <v>0</v>
      </c>
      <c r="J874" s="25">
        <v>0</v>
      </c>
      <c r="K874" s="25">
        <v>0</v>
      </c>
      <c r="L874" s="25">
        <v>0</v>
      </c>
      <c r="M874" s="26">
        <f>IF(G874&gt;0,J874/G874,0)</f>
      </c>
    </row>
    <row r="875" ht="14.4" customHeight="1">
      <c r="A875" s="21" t="str">
        <v/>
      </c>
      <c r="B875" s="22" t="str">
        <v>2.6.8.1.4.3     GASTO POR LA CONTRATACION DE SERVICIOS</v>
      </c>
      <c r="C875" s="23" t="str">
        <v/>
      </c>
      <c r="D875" s="24">
        <v>0</v>
      </c>
      <c r="E875" s="24">
        <v>34600</v>
      </c>
      <c r="F875" s="24">
        <v>34600</v>
      </c>
      <c r="G875" s="25">
        <v>0</v>
      </c>
      <c r="H875" s="25">
        <v>0</v>
      </c>
      <c r="I875" s="25">
        <v>0</v>
      </c>
      <c r="J875" s="25">
        <v>0</v>
      </c>
      <c r="K875" s="25">
        <v>0</v>
      </c>
      <c r="L875" s="25">
        <v>0</v>
      </c>
      <c r="M875" s="26">
        <f>IF(G875&gt;0,J875/G875,0)</f>
      </c>
    </row>
    <row r="876" ht="14.4" customHeight="1">
      <c r="A876" s="15" t="str">
        <v/>
      </c>
      <c r="B876" s="16" t="str">
        <v>18 CANON Y SOBRECANON, REGALIAS, RENTA DE ADUANAS Y PARTICIPACIONES</v>
      </c>
      <c r="C876" s="17" t="str">
        <v/>
      </c>
      <c r="D876" s="18">
        <v>0</v>
      </c>
      <c r="E876" s="18">
        <v>0</v>
      </c>
      <c r="F876" s="18">
        <v>0</v>
      </c>
      <c r="G876" s="19">
        <v>732487.18</v>
      </c>
      <c r="H876" s="19">
        <v>0</v>
      </c>
      <c r="I876" s="19">
        <v>0</v>
      </c>
      <c r="J876" s="19">
        <v>0</v>
      </c>
      <c r="K876" s="19">
        <v>0</v>
      </c>
      <c r="L876" s="19">
        <v>0</v>
      </c>
      <c r="M876" s="20">
        <f>IF(G876&gt;0,J876/G876,0)</f>
      </c>
    </row>
    <row r="877" ht="14.4" customHeight="1">
      <c r="A877" s="21" t="str">
        <v/>
      </c>
      <c r="B877" s="22" t="str">
        <v>2.6.2.3.99.2     COSTO DE CONSTRUCCION POR CONTRATA</v>
      </c>
      <c r="C877" s="23" t="str">
        <v/>
      </c>
      <c r="D877" s="24">
        <v>0</v>
      </c>
      <c r="E877" s="24">
        <v>0</v>
      </c>
      <c r="F877" s="24">
        <v>0</v>
      </c>
      <c r="G877" s="25">
        <v>732487.18</v>
      </c>
      <c r="H877" s="25">
        <v>0</v>
      </c>
      <c r="I877" s="25">
        <v>0</v>
      </c>
      <c r="J877" s="25">
        <v>0</v>
      </c>
      <c r="K877" s="25">
        <v>0</v>
      </c>
      <c r="L877" s="25">
        <v>0</v>
      </c>
      <c r="M877" s="26">
        <f>IF(G877&gt;0,J877/G877,0)</f>
      </c>
    </row>
    <row r="878" ht="14.4" customHeight="1">
      <c r="A878" s="21" t="str">
        <v/>
      </c>
      <c r="B878" s="22" t="str">
        <v>2.6.8.1.4.3     GASTO POR LA CONTRATACION DE SERVICIOS</v>
      </c>
      <c r="C878" s="23" t="str">
        <v/>
      </c>
      <c r="D878" s="24">
        <v>0</v>
      </c>
      <c r="E878" s="24">
        <v>0</v>
      </c>
      <c r="F878" s="24">
        <v>0</v>
      </c>
      <c r="G878" s="25">
        <v>0</v>
      </c>
      <c r="H878" s="25">
        <v>0</v>
      </c>
      <c r="I878" s="25">
        <v>0</v>
      </c>
      <c r="J878" s="25">
        <v>0</v>
      </c>
      <c r="K878" s="25">
        <v>0</v>
      </c>
      <c r="L878" s="25">
        <v>0</v>
      </c>
      <c r="M878" s="26">
        <f>IF(G878&gt;0,J878/G878,0)</f>
      </c>
    </row>
    <row r="879" ht="14.4" customHeight="1">
      <c r="A879" s="15" t="str">
        <v>0102</v>
      </c>
      <c r="B879" s="16" t="str">
        <v>CONSTRUCCION DE CAMPO DEPORTIVO EN LA I.E. SAN FRANCISCO DE ASIS EN EL CENTRO POBLADO HUANCABAMBA, DISTRITO DE HUANCABAMBA, HUANCABAMBA, PIURA</v>
      </c>
      <c r="C879" s="17" t="str">
        <v/>
      </c>
      <c r="D879" s="18">
        <v>0</v>
      </c>
      <c r="E879" s="18">
        <v>4391</v>
      </c>
      <c r="F879" s="18">
        <v>4391</v>
      </c>
      <c r="G879" s="19">
        <v>0</v>
      </c>
      <c r="H879" s="19">
        <v>0</v>
      </c>
      <c r="I879" s="19">
        <v>4391</v>
      </c>
      <c r="J879" s="19">
        <v>4391</v>
      </c>
      <c r="K879" s="19">
        <v>0</v>
      </c>
      <c r="L879" s="19">
        <v>0</v>
      </c>
      <c r="M879" s="20">
        <f>IF(G879&gt;0,J879/G879,0)</f>
      </c>
    </row>
    <row r="880" ht="14.4" customHeight="1">
      <c r="A880" s="15" t="str">
        <v/>
      </c>
      <c r="B880" s="16" t="str">
        <v>18 CANON Y SOBRECANON, REGALIAS, RENTA DE ADUANAS Y PARTICIPACIONES</v>
      </c>
      <c r="C880" s="17" t="str">
        <v/>
      </c>
      <c r="D880" s="18">
        <v>0</v>
      </c>
      <c r="E880" s="18">
        <v>4391</v>
      </c>
      <c r="F880" s="18">
        <v>4391</v>
      </c>
      <c r="G880" s="19">
        <v>0</v>
      </c>
      <c r="H880" s="19">
        <v>0</v>
      </c>
      <c r="I880" s="19">
        <v>4391</v>
      </c>
      <c r="J880" s="19">
        <v>4391</v>
      </c>
      <c r="K880" s="19">
        <v>0</v>
      </c>
      <c r="L880" s="19">
        <v>0</v>
      </c>
      <c r="M880" s="20">
        <f>IF(G880&gt;0,J880/G880,0)</f>
      </c>
    </row>
    <row r="881" ht="14.4" customHeight="1">
      <c r="A881" s="21" t="str">
        <v/>
      </c>
      <c r="B881" s="22" t="str">
        <v>2.6.2.3.99.2     COSTO DE CONSTRUCCION POR CONTRATA</v>
      </c>
      <c r="C881" s="23" t="str">
        <v/>
      </c>
      <c r="D881" s="24">
        <v>0</v>
      </c>
      <c r="E881" s="24">
        <v>4391</v>
      </c>
      <c r="F881" s="24">
        <v>4391</v>
      </c>
      <c r="G881" s="25">
        <v>0</v>
      </c>
      <c r="H881" s="25">
        <v>0</v>
      </c>
      <c r="I881" s="25">
        <v>4391</v>
      </c>
      <c r="J881" s="25">
        <v>4391</v>
      </c>
      <c r="K881" s="25">
        <v>0</v>
      </c>
      <c r="L881" s="25">
        <v>0</v>
      </c>
      <c r="M881" s="26">
        <f>IF(G881&gt;0,J881/G881,0)</f>
      </c>
    </row>
    <row r="882" ht="14.4" customHeight="1">
      <c r="A882" s="15" t="str">
        <v>0103</v>
      </c>
      <c r="B882" s="16" t="str">
        <v>CREACION DEL LOCAL PARA LA MUNICIPALIDAD DELEGADA DEL CENTRO POBLADO DE HUAMANY - DISTRITO DE HUANCABAMBA - HUANCABAMBA - PIURA</v>
      </c>
      <c r="C882" s="17" t="str">
        <v/>
      </c>
      <c r="D882" s="18">
        <v>0</v>
      </c>
      <c r="E882" s="18">
        <v>88488</v>
      </c>
      <c r="F882" s="18">
        <v>88488</v>
      </c>
      <c r="G882" s="19">
        <v>0</v>
      </c>
      <c r="H882" s="19">
        <v>0</v>
      </c>
      <c r="I882" s="19">
        <v>0</v>
      </c>
      <c r="J882" s="19">
        <v>0</v>
      </c>
      <c r="K882" s="19">
        <v>0</v>
      </c>
      <c r="L882" s="19">
        <v>0</v>
      </c>
      <c r="M882" s="20">
        <f>IF(G882&gt;0,J882/G882,0)</f>
      </c>
    </row>
    <row r="883" ht="14.4" customHeight="1">
      <c r="A883" s="15" t="str">
        <v/>
      </c>
      <c r="B883" s="16" t="str">
        <v>18 CANON Y SOBRECANON, REGALIAS, RENTA DE ADUANAS Y PARTICIPACIONES</v>
      </c>
      <c r="C883" s="17" t="str">
        <v/>
      </c>
      <c r="D883" s="18">
        <v>0</v>
      </c>
      <c r="E883" s="18">
        <v>88488</v>
      </c>
      <c r="F883" s="18">
        <v>88488</v>
      </c>
      <c r="G883" s="19">
        <v>0</v>
      </c>
      <c r="H883" s="19">
        <v>0</v>
      </c>
      <c r="I883" s="19">
        <v>0</v>
      </c>
      <c r="J883" s="19">
        <v>0</v>
      </c>
      <c r="K883" s="19">
        <v>0</v>
      </c>
      <c r="L883" s="19">
        <v>0</v>
      </c>
      <c r="M883" s="20">
        <f>IF(G883&gt;0,J883/G883,0)</f>
      </c>
    </row>
    <row r="884" ht="14.4" customHeight="1">
      <c r="A884" s="21" t="str">
        <v/>
      </c>
      <c r="B884" s="22" t="str">
        <v>2.6.2.2.6.2     COSTO DE CONSTRUCCION POR CONTRATA</v>
      </c>
      <c r="C884" s="23" t="str">
        <v/>
      </c>
      <c r="D884" s="24">
        <v>0</v>
      </c>
      <c r="E884" s="24">
        <v>88488</v>
      </c>
      <c r="F884" s="24">
        <v>88488</v>
      </c>
      <c r="G884" s="25">
        <v>0</v>
      </c>
      <c r="H884" s="25">
        <v>0</v>
      </c>
      <c r="I884" s="25">
        <v>0</v>
      </c>
      <c r="J884" s="25">
        <v>0</v>
      </c>
      <c r="K884" s="25">
        <v>0</v>
      </c>
      <c r="L884" s="25">
        <v>0</v>
      </c>
      <c r="M884" s="26">
        <f>IF(G884&gt;0,J884/G884,0)</f>
      </c>
    </row>
    <row r="885" ht="14.4" customHeight="1">
      <c r="A885" s="15" t="str">
        <v>0104</v>
      </c>
      <c r="B885" s="16" t="str">
        <v>CONSTRUCCION DE INFRAESTRUCTURA DEPORTIVA EN EL CAMPO DEPORTIVO EMETERIO SANTOS CALVAY DE LA LOCALIDAD SAN MARTIN, DISTRITO DE HUARMACA, HUANCABAMBA, PIURA</v>
      </c>
      <c r="C885" s="17" t="str">
        <v/>
      </c>
      <c r="D885" s="18">
        <v>0</v>
      </c>
      <c r="E885" s="18">
        <v>136545</v>
      </c>
      <c r="F885" s="18">
        <v>136545</v>
      </c>
      <c r="G885" s="19">
        <v>0</v>
      </c>
      <c r="H885" s="19">
        <v>0</v>
      </c>
      <c r="I885" s="19">
        <v>102703.6</v>
      </c>
      <c r="J885" s="19">
        <v>0</v>
      </c>
      <c r="K885" s="19">
        <v>0</v>
      </c>
      <c r="L885" s="19">
        <v>0</v>
      </c>
      <c r="M885" s="20">
        <f>IF(G885&gt;0,J885/G885,0)</f>
      </c>
    </row>
    <row r="886" ht="14.4" customHeight="1">
      <c r="A886" s="15" t="str">
        <v/>
      </c>
      <c r="B886" s="16" t="str">
        <v>07 FONDO DE COMPENSACION MUNICIPAL</v>
      </c>
      <c r="C886" s="17" t="str">
        <v/>
      </c>
      <c r="D886" s="18">
        <v>0</v>
      </c>
      <c r="E886" s="18">
        <v>0</v>
      </c>
      <c r="F886" s="18">
        <v>0</v>
      </c>
      <c r="G886" s="19">
        <v>0</v>
      </c>
      <c r="H886" s="19">
        <v>0</v>
      </c>
      <c r="I886" s="19">
        <v>0</v>
      </c>
      <c r="J886" s="19">
        <v>0</v>
      </c>
      <c r="K886" s="19">
        <v>0</v>
      </c>
      <c r="L886" s="19">
        <v>0</v>
      </c>
      <c r="M886" s="20">
        <f>IF(G886&gt;0,J886/G886,0)</f>
      </c>
    </row>
    <row r="887" ht="14.4" customHeight="1">
      <c r="A887" s="21" t="str">
        <v/>
      </c>
      <c r="B887" s="22" t="str">
        <v>2.6.2.3.99.2     COSTO DE CONSTRUCCION POR CONTRATA</v>
      </c>
      <c r="C887" s="23" t="str">
        <v/>
      </c>
      <c r="D887" s="24">
        <v>0</v>
      </c>
      <c r="E887" s="24">
        <v>0</v>
      </c>
      <c r="F887" s="24">
        <v>0</v>
      </c>
      <c r="G887" s="25">
        <v>0</v>
      </c>
      <c r="H887" s="25">
        <v>0</v>
      </c>
      <c r="I887" s="25">
        <v>0</v>
      </c>
      <c r="J887" s="25">
        <v>0</v>
      </c>
      <c r="K887" s="25">
        <v>0</v>
      </c>
      <c r="L887" s="25">
        <v>0</v>
      </c>
      <c r="M887" s="26">
        <f>IF(G887&gt;0,J887/G887,0)</f>
      </c>
    </row>
    <row r="888" ht="14.4" customHeight="1">
      <c r="A888" s="15" t="str">
        <v/>
      </c>
      <c r="B888" s="16" t="str">
        <v>18 CANON Y SOBRECANON, REGALIAS, RENTA DE ADUANAS Y PARTICIPACIONES</v>
      </c>
      <c r="C888" s="17" t="str">
        <v/>
      </c>
      <c r="D888" s="18">
        <v>0</v>
      </c>
      <c r="E888" s="18">
        <v>136545</v>
      </c>
      <c r="F888" s="18">
        <v>136545</v>
      </c>
      <c r="G888" s="19">
        <v>0</v>
      </c>
      <c r="H888" s="19">
        <v>0</v>
      </c>
      <c r="I888" s="19">
        <v>102703.6</v>
      </c>
      <c r="J888" s="19">
        <v>0</v>
      </c>
      <c r="K888" s="19">
        <v>0</v>
      </c>
      <c r="L888" s="19">
        <v>0</v>
      </c>
      <c r="M888" s="20">
        <f>IF(G888&gt;0,J888/G888,0)</f>
      </c>
    </row>
    <row r="889" ht="14.4" customHeight="1">
      <c r="A889" s="21" t="str">
        <v/>
      </c>
      <c r="B889" s="22" t="str">
        <v>2.6.2.2.2.2     COSTO DE CONSTRUCCION POR CONTRATA</v>
      </c>
      <c r="C889" s="23" t="str">
        <v/>
      </c>
      <c r="D889" s="24">
        <v>0</v>
      </c>
      <c r="E889" s="24">
        <v>0</v>
      </c>
      <c r="F889" s="24">
        <v>0</v>
      </c>
      <c r="G889" s="25">
        <v>0</v>
      </c>
      <c r="H889" s="25">
        <v>0</v>
      </c>
      <c r="I889" s="25">
        <v>0</v>
      </c>
      <c r="J889" s="25">
        <v>0</v>
      </c>
      <c r="K889" s="25">
        <v>0</v>
      </c>
      <c r="L889" s="25">
        <v>0</v>
      </c>
      <c r="M889" s="26">
        <f>IF(G889&gt;0,J889/G889,0)</f>
      </c>
    </row>
    <row r="890" ht="14.4" customHeight="1">
      <c r="A890" s="21" t="str">
        <v/>
      </c>
      <c r="B890" s="22" t="str">
        <v>2.6.2.3.99.2     COSTO DE CONSTRUCCION POR CONTRATA</v>
      </c>
      <c r="C890" s="23" t="str">
        <v/>
      </c>
      <c r="D890" s="24">
        <v>0</v>
      </c>
      <c r="E890" s="24">
        <v>136545</v>
      </c>
      <c r="F890" s="24">
        <v>136545</v>
      </c>
      <c r="G890" s="25">
        <v>0</v>
      </c>
      <c r="H890" s="25">
        <v>0</v>
      </c>
      <c r="I890" s="25">
        <v>102703.6</v>
      </c>
      <c r="J890" s="25">
        <v>0</v>
      </c>
      <c r="K890" s="25">
        <v>0</v>
      </c>
      <c r="L890" s="25">
        <v>0</v>
      </c>
      <c r="M890" s="26">
        <f>IF(G890&gt;0,J890/G890,0)</f>
      </c>
    </row>
    <row r="891" ht="14.4" customHeight="1">
      <c r="A891" s="15" t="str">
        <v>0105</v>
      </c>
      <c r="B891" s="16" t="str">
        <v>CONSTRUCCION DE PUENTES</v>
      </c>
      <c r="C891" s="17" t="str">
        <v/>
      </c>
      <c r="D891" s="18">
        <v>0</v>
      </c>
      <c r="E891" s="18">
        <v>484227</v>
      </c>
      <c r="F891" s="18">
        <v>484227</v>
      </c>
      <c r="G891" s="19">
        <v>0</v>
      </c>
      <c r="H891" s="19">
        <v>0</v>
      </c>
      <c r="I891" s="19">
        <v>484227</v>
      </c>
      <c r="J891" s="19">
        <v>365441.19</v>
      </c>
      <c r="K891" s="19">
        <v>347192.92</v>
      </c>
      <c r="L891" s="19">
        <v>347192.92</v>
      </c>
      <c r="M891" s="20">
        <f>IF(G891&gt;0,J891/G891,0)</f>
      </c>
    </row>
    <row r="892" ht="14.4" customHeight="1">
      <c r="A892" s="15" t="str">
        <v/>
      </c>
      <c r="B892" s="16" t="str">
        <v>00 RECURSOS ORDINARIOS</v>
      </c>
      <c r="C892" s="17" t="str">
        <v/>
      </c>
      <c r="D892" s="18">
        <v>0</v>
      </c>
      <c r="E892" s="18">
        <v>442170</v>
      </c>
      <c r="F892" s="18">
        <v>442170</v>
      </c>
      <c r="G892" s="19">
        <v>0</v>
      </c>
      <c r="H892" s="19">
        <v>0</v>
      </c>
      <c r="I892" s="19">
        <v>442170</v>
      </c>
      <c r="J892" s="19">
        <v>357217.92</v>
      </c>
      <c r="K892" s="19">
        <v>347192.92</v>
      </c>
      <c r="L892" s="19">
        <v>347192.92</v>
      </c>
      <c r="M892" s="20">
        <f>IF(G892&gt;0,J892/G892,0)</f>
      </c>
    </row>
    <row r="893" ht="14.4" customHeight="1">
      <c r="A893" s="21" t="str">
        <v/>
      </c>
      <c r="B893" s="22" t="str">
        <v>2.6.2.3.2.3     COSTO DE CONSTRUCCION POR CONTRATA</v>
      </c>
      <c r="C893" s="23" t="str">
        <v/>
      </c>
      <c r="D893" s="24">
        <v>0</v>
      </c>
      <c r="E893" s="24">
        <v>442170</v>
      </c>
      <c r="F893" s="24">
        <v>442170</v>
      </c>
      <c r="G893" s="25">
        <v>0</v>
      </c>
      <c r="H893" s="25">
        <v>0</v>
      </c>
      <c r="I893" s="25">
        <v>442170</v>
      </c>
      <c r="J893" s="25">
        <v>357217.92</v>
      </c>
      <c r="K893" s="25">
        <v>347192.92</v>
      </c>
      <c r="L893" s="25">
        <v>347192.92</v>
      </c>
      <c r="M893" s="26">
        <f>IF(G893&gt;0,J893/G893,0)</f>
      </c>
    </row>
    <row r="894" ht="14.4" customHeight="1">
      <c r="A894" s="15" t="str">
        <v/>
      </c>
      <c r="B894" s="16" t="str">
        <v>18 CANON Y SOBRECANON, REGALIAS, RENTA DE ADUANAS Y PARTICIPACIONES</v>
      </c>
      <c r="C894" s="17" t="str">
        <v/>
      </c>
      <c r="D894" s="18">
        <v>0</v>
      </c>
      <c r="E894" s="18">
        <v>42057</v>
      </c>
      <c r="F894" s="18">
        <v>42057</v>
      </c>
      <c r="G894" s="19">
        <v>0</v>
      </c>
      <c r="H894" s="19">
        <v>0</v>
      </c>
      <c r="I894" s="19">
        <v>42057</v>
      </c>
      <c r="J894" s="19">
        <v>8223.27</v>
      </c>
      <c r="K894" s="19">
        <v>0</v>
      </c>
      <c r="L894" s="19">
        <v>0</v>
      </c>
      <c r="M894" s="20">
        <f>IF(G894&gt;0,J894/G894,0)</f>
      </c>
    </row>
    <row r="895" ht="14.4" customHeight="1">
      <c r="A895" s="21" t="str">
        <v/>
      </c>
      <c r="B895" s="22" t="str">
        <v>2.6.8.1.4.3     GASTO POR LA CONTRATACION DE SERVICIOS</v>
      </c>
      <c r="C895" s="23" t="str">
        <v/>
      </c>
      <c r="D895" s="24">
        <v>0</v>
      </c>
      <c r="E895" s="24">
        <v>42057</v>
      </c>
      <c r="F895" s="24">
        <v>42057</v>
      </c>
      <c r="G895" s="25">
        <v>0</v>
      </c>
      <c r="H895" s="25">
        <v>0</v>
      </c>
      <c r="I895" s="25">
        <v>42057</v>
      </c>
      <c r="J895" s="25">
        <v>8223.27</v>
      </c>
      <c r="K895" s="25">
        <v>0</v>
      </c>
      <c r="L895" s="25">
        <v>0</v>
      </c>
      <c r="M895" s="26">
        <f>IF(G895&gt;0,J895/G895,0)</f>
      </c>
    </row>
    <row r="896" ht="14.4" customHeight="1">
      <c r="A896" s="15" t="str">
        <v>0106</v>
      </c>
      <c r="B896" s="16" t="str">
        <v>MEJORAMIENTO Y AMPLIACION DE LOS SERVICIOS DE COMERCIALIZACION DEL MERCADO DE ABASTOS DE LA LOCALIDAD EN HUANCABAMBA DEL DISTRITO DE HUANCABAMBA - HUANCABAMBA -PIURA</v>
      </c>
      <c r="C896" s="17" t="str">
        <v/>
      </c>
      <c r="D896" s="18">
        <v>0</v>
      </c>
      <c r="E896" s="18">
        <v>49670</v>
      </c>
      <c r="F896" s="18">
        <v>49670</v>
      </c>
      <c r="G896" s="19">
        <v>0</v>
      </c>
      <c r="H896" s="19">
        <v>0</v>
      </c>
      <c r="I896" s="19">
        <v>0</v>
      </c>
      <c r="J896" s="19">
        <v>0</v>
      </c>
      <c r="K896" s="19">
        <v>0</v>
      </c>
      <c r="L896" s="19">
        <v>0</v>
      </c>
      <c r="M896" s="20">
        <f>IF(G896&gt;0,J896/G896,0)</f>
      </c>
    </row>
    <row r="897" ht="14.4" customHeight="1">
      <c r="A897" s="15" t="str">
        <v/>
      </c>
      <c r="B897" s="16" t="str">
        <v>18 CANON Y SOBRECANON, REGALIAS, RENTA DE ADUANAS Y PARTICIPACIONES</v>
      </c>
      <c r="C897" s="17" t="str">
        <v/>
      </c>
      <c r="D897" s="18">
        <v>0</v>
      </c>
      <c r="E897" s="18">
        <v>49670</v>
      </c>
      <c r="F897" s="18">
        <v>49670</v>
      </c>
      <c r="G897" s="19">
        <v>0</v>
      </c>
      <c r="H897" s="19">
        <v>0</v>
      </c>
      <c r="I897" s="19">
        <v>0</v>
      </c>
      <c r="J897" s="19">
        <v>0</v>
      </c>
      <c r="K897" s="19">
        <v>0</v>
      </c>
      <c r="L897" s="19">
        <v>0</v>
      </c>
      <c r="M897" s="20">
        <f>IF(G897&gt;0,J897/G897,0)</f>
      </c>
    </row>
    <row r="898" ht="14.4" customHeight="1">
      <c r="A898" s="21" t="str">
        <v/>
      </c>
      <c r="B898" s="22" t="str">
        <v>2.6.8.1.4.3     GASTO POR LA CONTRATACION DE SERVICIOS</v>
      </c>
      <c r="C898" s="23" t="str">
        <v/>
      </c>
      <c r="D898" s="24">
        <v>0</v>
      </c>
      <c r="E898" s="24">
        <v>49670</v>
      </c>
      <c r="F898" s="24">
        <v>49670</v>
      </c>
      <c r="G898" s="25">
        <v>0</v>
      </c>
      <c r="H898" s="25">
        <v>0</v>
      </c>
      <c r="I898" s="25">
        <v>0</v>
      </c>
      <c r="J898" s="25">
        <v>0</v>
      </c>
      <c r="K898" s="25">
        <v>0</v>
      </c>
      <c r="L898" s="25">
        <v>0</v>
      </c>
      <c r="M898" s="26">
        <f>IF(G898&gt;0,J898/G898,0)</f>
      </c>
    </row>
    <row r="899" ht="14.4" customHeight="1">
      <c r="A899" s="15" t="str">
        <v>0107</v>
      </c>
      <c r="B899" s="16" t="str">
        <v>MEJORAMIENTO Y AMPLIACION DE LOS SERVICIOS DE AGUA POTABLE Y CREACION DEL SANEAMIENTO BASICO EN LA LOCALIDAD DE SAN MIGUEL DE CUMBICUS DEL DISTRITO DE HUANCABAMBA,HUANCABAMBA, PIURA</v>
      </c>
      <c r="C899" s="17" t="str">
        <v/>
      </c>
      <c r="D899" s="18">
        <v>0</v>
      </c>
      <c r="E899" s="18">
        <v>177699</v>
      </c>
      <c r="F899" s="18">
        <v>177699</v>
      </c>
      <c r="G899" s="19">
        <v>0</v>
      </c>
      <c r="H899" s="19">
        <v>0</v>
      </c>
      <c r="I899" s="19">
        <v>177698.37</v>
      </c>
      <c r="J899" s="19">
        <v>177698.37</v>
      </c>
      <c r="K899" s="19">
        <v>0</v>
      </c>
      <c r="L899" s="19">
        <v>0</v>
      </c>
      <c r="M899" s="20">
        <f>IF(G899&gt;0,J899/G899,0)</f>
      </c>
    </row>
    <row r="900" ht="14.4" customHeight="1">
      <c r="A900" s="15" t="str">
        <v/>
      </c>
      <c r="B900" s="16" t="str">
        <v>13 DONACIONES Y TRANSFERENCIAS</v>
      </c>
      <c r="C900" s="17" t="str">
        <v/>
      </c>
      <c r="D900" s="18">
        <v>0</v>
      </c>
      <c r="E900" s="18">
        <v>41602</v>
      </c>
      <c r="F900" s="18">
        <v>41602</v>
      </c>
      <c r="G900" s="19">
        <v>0</v>
      </c>
      <c r="H900" s="19">
        <v>0</v>
      </c>
      <c r="I900" s="19">
        <v>41601.5</v>
      </c>
      <c r="J900" s="19">
        <v>41601.5</v>
      </c>
      <c r="K900" s="19">
        <v>0</v>
      </c>
      <c r="L900" s="19">
        <v>0</v>
      </c>
      <c r="M900" s="20">
        <f>IF(G900&gt;0,J900/G900,0)</f>
      </c>
    </row>
    <row r="901" ht="14.4" customHeight="1">
      <c r="A901" s="21" t="str">
        <v/>
      </c>
      <c r="B901" s="22" t="str">
        <v>2.6.2.3.5.2     COSTO DE CONSTRUCCION POR CONTRATA</v>
      </c>
      <c r="C901" s="23" t="str">
        <v/>
      </c>
      <c r="D901" s="24">
        <v>0</v>
      </c>
      <c r="E901" s="24">
        <v>41602</v>
      </c>
      <c r="F901" s="24">
        <v>41602</v>
      </c>
      <c r="G901" s="25">
        <v>0</v>
      </c>
      <c r="H901" s="25">
        <v>0</v>
      </c>
      <c r="I901" s="25">
        <v>41601.5</v>
      </c>
      <c r="J901" s="25">
        <v>41601.5</v>
      </c>
      <c r="K901" s="25">
        <v>0</v>
      </c>
      <c r="L901" s="25">
        <v>0</v>
      </c>
      <c r="M901" s="26">
        <f>IF(G901&gt;0,J901/G901,0)</f>
      </c>
    </row>
    <row r="902" ht="14.4" customHeight="1">
      <c r="A902" s="15" t="str">
        <v/>
      </c>
      <c r="B902" s="16" t="str">
        <v>18 CANON Y SOBRECANON, REGALIAS, RENTA DE ADUANAS Y PARTICIPACIONES</v>
      </c>
      <c r="C902" s="17" t="str">
        <v/>
      </c>
      <c r="D902" s="18">
        <v>0</v>
      </c>
      <c r="E902" s="18">
        <v>136097</v>
      </c>
      <c r="F902" s="18">
        <v>136097</v>
      </c>
      <c r="G902" s="19">
        <v>0</v>
      </c>
      <c r="H902" s="19">
        <v>0</v>
      </c>
      <c r="I902" s="19">
        <v>136096.87</v>
      </c>
      <c r="J902" s="19">
        <v>136096.87</v>
      </c>
      <c r="K902" s="19">
        <v>0</v>
      </c>
      <c r="L902" s="19">
        <v>0</v>
      </c>
      <c r="M902" s="20">
        <f>IF(G902&gt;0,J902/G902,0)</f>
      </c>
    </row>
    <row r="903" ht="14.4" customHeight="1">
      <c r="A903" s="21" t="str">
        <v/>
      </c>
      <c r="B903" s="22" t="str">
        <v>2.6.2.3.5.2     COSTO DE CONSTRUCCION POR CONTRATA</v>
      </c>
      <c r="C903" s="23" t="str">
        <v/>
      </c>
      <c r="D903" s="24">
        <v>0</v>
      </c>
      <c r="E903" s="24">
        <v>136097</v>
      </c>
      <c r="F903" s="24">
        <v>136097</v>
      </c>
      <c r="G903" s="25">
        <v>0</v>
      </c>
      <c r="H903" s="25">
        <v>0</v>
      </c>
      <c r="I903" s="25">
        <v>136096.87</v>
      </c>
      <c r="J903" s="25">
        <v>136096.87</v>
      </c>
      <c r="K903" s="25">
        <v>0</v>
      </c>
      <c r="L903" s="25">
        <v>0</v>
      </c>
      <c r="M903" s="26">
        <f>IF(G903&gt;0,J903/G903,0)</f>
      </c>
    </row>
    <row r="904" ht="14.4" customHeight="1">
      <c r="A904" s="15" t="str">
        <v>0108</v>
      </c>
      <c r="B904" s="16" t="str">
        <v>CONSTRUCCION E IMPLEMENTACION DE LOCAL COMUNAL</v>
      </c>
      <c r="C904" s="17" t="str">
        <v/>
      </c>
      <c r="D904" s="18">
        <v>0</v>
      </c>
      <c r="E904" s="18">
        <v>800000</v>
      </c>
      <c r="F904" s="18">
        <v>800000</v>
      </c>
      <c r="G904" s="19">
        <v>0</v>
      </c>
      <c r="H904" s="19">
        <v>0</v>
      </c>
      <c r="I904" s="19">
        <v>0</v>
      </c>
      <c r="J904" s="19">
        <v>0</v>
      </c>
      <c r="K904" s="19">
        <v>0</v>
      </c>
      <c r="L904" s="19">
        <v>0</v>
      </c>
      <c r="M904" s="20">
        <f>IF(G904&gt;0,J904/G904,0)</f>
      </c>
    </row>
    <row r="905" ht="14.4" customHeight="1">
      <c r="A905" s="15" t="str">
        <v/>
      </c>
      <c r="B905" s="16" t="str">
        <v>07 FONDO DE COMPENSACION MUNICIPAL</v>
      </c>
      <c r="C905" s="17" t="str">
        <v/>
      </c>
      <c r="D905" s="18">
        <v>0</v>
      </c>
      <c r="E905" s="18">
        <v>800000</v>
      </c>
      <c r="F905" s="18">
        <v>800000</v>
      </c>
      <c r="G905" s="19">
        <v>0</v>
      </c>
      <c r="H905" s="19">
        <v>0</v>
      </c>
      <c r="I905" s="19">
        <v>0</v>
      </c>
      <c r="J905" s="19">
        <v>0</v>
      </c>
      <c r="K905" s="19">
        <v>0</v>
      </c>
      <c r="L905" s="19">
        <v>0</v>
      </c>
      <c r="M905" s="20">
        <f>IF(G905&gt;0,J905/G905,0)</f>
      </c>
    </row>
    <row r="906" ht="14.4" customHeight="1">
      <c r="A906" s="21" t="str">
        <v/>
      </c>
      <c r="B906" s="22" t="str">
        <v>2.6.2.3.99.2     COSTO DE CONSTRUCCION POR CONTRATA</v>
      </c>
      <c r="C906" s="23" t="str">
        <v/>
      </c>
      <c r="D906" s="24">
        <v>0</v>
      </c>
      <c r="E906" s="24">
        <v>800000</v>
      </c>
      <c r="F906" s="24">
        <v>800000</v>
      </c>
      <c r="G906" s="25">
        <v>0</v>
      </c>
      <c r="H906" s="25">
        <v>0</v>
      </c>
      <c r="I906" s="25">
        <v>0</v>
      </c>
      <c r="J906" s="25">
        <v>0</v>
      </c>
      <c r="K906" s="25">
        <v>0</v>
      </c>
      <c r="L906" s="25">
        <v>0</v>
      </c>
      <c r="M906" s="26">
        <f>IF(G906&gt;0,J906/G906,0)</f>
      </c>
    </row>
    <row r="907" ht="14.4" customHeight="1">
      <c r="A907" s="15" t="str">
        <v>0109</v>
      </c>
      <c r="B907" s="16" t="str">
        <v>CONSTRUCCION DE VEREDAS</v>
      </c>
      <c r="C907" s="17" t="str">
        <v/>
      </c>
      <c r="D907" s="18">
        <v>0</v>
      </c>
      <c r="E907" s="18">
        <v>3723267</v>
      </c>
      <c r="F907" s="18">
        <v>3723267</v>
      </c>
      <c r="G907" s="19">
        <v>0</v>
      </c>
      <c r="H907" s="19">
        <v>0</v>
      </c>
      <c r="I907" s="19">
        <v>0</v>
      </c>
      <c r="J907" s="19">
        <v>0</v>
      </c>
      <c r="K907" s="19">
        <v>0</v>
      </c>
      <c r="L907" s="19">
        <v>0</v>
      </c>
      <c r="M907" s="20">
        <f>IF(G907&gt;0,J907/G907,0)</f>
      </c>
    </row>
    <row r="908" ht="14.4" customHeight="1">
      <c r="A908" s="15" t="str">
        <v/>
      </c>
      <c r="B908" s="16" t="str">
        <v>07 FONDO DE COMPENSACION MUNICIPAL</v>
      </c>
      <c r="C908" s="17" t="str">
        <v/>
      </c>
      <c r="D908" s="18">
        <v>0</v>
      </c>
      <c r="E908" s="18">
        <v>3723267</v>
      </c>
      <c r="F908" s="18">
        <v>3723267</v>
      </c>
      <c r="G908" s="19">
        <v>0</v>
      </c>
      <c r="H908" s="19">
        <v>0</v>
      </c>
      <c r="I908" s="19">
        <v>0</v>
      </c>
      <c r="J908" s="19">
        <v>0</v>
      </c>
      <c r="K908" s="19">
        <v>0</v>
      </c>
      <c r="L908" s="19">
        <v>0</v>
      </c>
      <c r="M908" s="20">
        <f>IF(G908&gt;0,J908/G908,0)</f>
      </c>
    </row>
    <row r="909" ht="14.4" customHeight="1">
      <c r="A909" s="21" t="str">
        <v/>
      </c>
      <c r="B909" s="22" t="str">
        <v>2.6.2.3.2.3     COSTO DE CONSTRUCCION POR CONTRATA</v>
      </c>
      <c r="C909" s="23" t="str">
        <v/>
      </c>
      <c r="D909" s="24">
        <v>0</v>
      </c>
      <c r="E909" s="24">
        <v>3723267</v>
      </c>
      <c r="F909" s="24">
        <v>3723267</v>
      </c>
      <c r="G909" s="25">
        <v>0</v>
      </c>
      <c r="H909" s="25">
        <v>0</v>
      </c>
      <c r="I909" s="25">
        <v>0</v>
      </c>
      <c r="J909" s="25">
        <v>0</v>
      </c>
      <c r="K909" s="25">
        <v>0</v>
      </c>
      <c r="L909" s="25">
        <v>0</v>
      </c>
      <c r="M909" s="26">
        <f>IF(G909&gt;0,J909/G909,0)</f>
      </c>
    </row>
    <row r="910" ht="14.4" customHeight="1">
      <c r="A910" s="15" t="str">
        <v>0110</v>
      </c>
      <c r="B910" s="16" t="str">
        <v>CONSTRUCCION Y EQUIPAMIENTO DE LOCAL MUNICIPAL</v>
      </c>
      <c r="C910" s="17" t="str">
        <v/>
      </c>
      <c r="D910" s="18">
        <v>0</v>
      </c>
      <c r="E910" s="18">
        <v>43588</v>
      </c>
      <c r="F910" s="18">
        <v>43588</v>
      </c>
      <c r="G910" s="19">
        <v>0</v>
      </c>
      <c r="H910" s="19">
        <v>0</v>
      </c>
      <c r="I910" s="19">
        <v>43547</v>
      </c>
      <c r="J910" s="19">
        <v>0</v>
      </c>
      <c r="K910" s="19">
        <v>0</v>
      </c>
      <c r="L910" s="19">
        <v>0</v>
      </c>
      <c r="M910" s="20">
        <f>IF(G910&gt;0,J910/G910,0)</f>
      </c>
    </row>
    <row r="911" ht="14.4" customHeight="1">
      <c r="A911" s="15" t="str">
        <v/>
      </c>
      <c r="B911" s="16" t="str">
        <v>18 CANON Y SOBRECANON, REGALIAS, RENTA DE ADUANAS Y PARTICIPACIONES</v>
      </c>
      <c r="C911" s="17" t="str">
        <v/>
      </c>
      <c r="D911" s="18">
        <v>0</v>
      </c>
      <c r="E911" s="18">
        <v>43588</v>
      </c>
      <c r="F911" s="18">
        <v>43588</v>
      </c>
      <c r="G911" s="19">
        <v>0</v>
      </c>
      <c r="H911" s="19">
        <v>0</v>
      </c>
      <c r="I911" s="19">
        <v>43547</v>
      </c>
      <c r="J911" s="19">
        <v>0</v>
      </c>
      <c r="K911" s="19">
        <v>0</v>
      </c>
      <c r="L911" s="19">
        <v>0</v>
      </c>
      <c r="M911" s="20">
        <f>IF(G911&gt;0,J911/G911,0)</f>
      </c>
    </row>
    <row r="912" ht="14.4" customHeight="1">
      <c r="A912" s="21" t="str">
        <v/>
      </c>
      <c r="B912" s="22" t="str">
        <v>2.6.8.1.3.1     ELABORACION DE EXPEDIENTES TECNICOS</v>
      </c>
      <c r="C912" s="23" t="str">
        <v/>
      </c>
      <c r="D912" s="24">
        <v>0</v>
      </c>
      <c r="E912" s="24">
        <v>43588</v>
      </c>
      <c r="F912" s="24">
        <v>43588</v>
      </c>
      <c r="G912" s="25">
        <v>0</v>
      </c>
      <c r="H912" s="25">
        <v>0</v>
      </c>
      <c r="I912" s="25">
        <v>43547</v>
      </c>
      <c r="J912" s="25">
        <v>0</v>
      </c>
      <c r="K912" s="25">
        <v>0</v>
      </c>
      <c r="L912" s="25">
        <v>0</v>
      </c>
      <c r="M912" s="26">
        <f>IF(G912&gt;0,J912/G912,0)</f>
      </c>
    </row>
    <row r="913" ht="14.4" customHeight="1">
      <c r="A913" s="15" t="str">
        <v>0112</v>
      </c>
      <c r="B913" s="16" t="str">
        <v>CONSTRUCCION DE VIAS</v>
      </c>
      <c r="C913" s="17" t="str">
        <v/>
      </c>
      <c r="D913" s="18">
        <v>0</v>
      </c>
      <c r="E913" s="18">
        <v>42500</v>
      </c>
      <c r="F913" s="18">
        <v>42500</v>
      </c>
      <c r="G913" s="19">
        <v>0</v>
      </c>
      <c r="H913" s="19">
        <v>0</v>
      </c>
      <c r="I913" s="19">
        <v>0</v>
      </c>
      <c r="J913" s="19">
        <v>0</v>
      </c>
      <c r="K913" s="19">
        <v>0</v>
      </c>
      <c r="L913" s="19">
        <v>0</v>
      </c>
      <c r="M913" s="20">
        <f>IF(G913&gt;0,J913/G913,0)</f>
      </c>
    </row>
    <row r="914" ht="14.4" customHeight="1">
      <c r="A914" s="15" t="str">
        <v/>
      </c>
      <c r="B914" s="16" t="str">
        <v>18 CANON Y SOBRECANON, REGALIAS, RENTA DE ADUANAS Y PARTICIPACIONES</v>
      </c>
      <c r="C914" s="17" t="str">
        <v/>
      </c>
      <c r="D914" s="18">
        <v>0</v>
      </c>
      <c r="E914" s="18">
        <v>42500</v>
      </c>
      <c r="F914" s="18">
        <v>42500</v>
      </c>
      <c r="G914" s="19">
        <v>0</v>
      </c>
      <c r="H914" s="19">
        <v>0</v>
      </c>
      <c r="I914" s="19">
        <v>0</v>
      </c>
      <c r="J914" s="19">
        <v>0</v>
      </c>
      <c r="K914" s="19">
        <v>0</v>
      </c>
      <c r="L914" s="19">
        <v>0</v>
      </c>
      <c r="M914" s="20">
        <f>IF(G914&gt;0,J914/G914,0)</f>
      </c>
    </row>
    <row r="915" ht="14.4" customHeight="1">
      <c r="A915" s="21" t="str">
        <v/>
      </c>
      <c r="B915" s="22" t="str">
        <v>2.6.8.1.3.1     ELABORACION DE EXPEDIENTES TECNICOS</v>
      </c>
      <c r="C915" s="23" t="str">
        <v/>
      </c>
      <c r="D915" s="24">
        <v>0</v>
      </c>
      <c r="E915" s="24">
        <v>42500</v>
      </c>
      <c r="F915" s="24">
        <v>42500</v>
      </c>
      <c r="G915" s="25">
        <v>0</v>
      </c>
      <c r="H915" s="25">
        <v>0</v>
      </c>
      <c r="I915" s="25">
        <v>0</v>
      </c>
      <c r="J915" s="25">
        <v>0</v>
      </c>
      <c r="K915" s="25">
        <v>0</v>
      </c>
      <c r="L915" s="25">
        <v>0</v>
      </c>
      <c r="M915" s="26">
        <f>IF(G915&gt;0,J915/G915,0)</f>
      </c>
    </row>
    <row r="916" ht="14.4" customHeight="1">
      <c r="A916" s="15" t="str">
        <v>0113</v>
      </c>
      <c r="B916" s="16" t="str">
        <v>MEJORAMIENTO Y AMPLIACION DEL SERVICIO DE EDUCACION SECUNDARIA Y DE EDUCACION BASICA ALTERNATIVA EN 3 UNIDADES PRODUCTORAS DE LA INSTITUCION EDUCATIVA MARIA INMACULADA DEL CENTRO POBLADO HUANC</v>
      </c>
      <c r="C916" s="17" t="str">
        <v/>
      </c>
      <c r="D916" s="18">
        <v>0</v>
      </c>
      <c r="E916" s="18">
        <v>43900</v>
      </c>
      <c r="F916" s="18">
        <v>43900</v>
      </c>
      <c r="G916" s="19">
        <v>0</v>
      </c>
      <c r="H916" s="19">
        <v>0</v>
      </c>
      <c r="I916" s="19">
        <v>0</v>
      </c>
      <c r="J916" s="19">
        <v>0</v>
      </c>
      <c r="K916" s="19">
        <v>0</v>
      </c>
      <c r="L916" s="19">
        <v>0</v>
      </c>
      <c r="M916" s="20">
        <f>IF(G916&gt;0,J916/G916,0)</f>
      </c>
    </row>
    <row r="917" ht="14.4" customHeight="1">
      <c r="A917" s="15" t="str">
        <v/>
      </c>
      <c r="B917" s="16" t="str">
        <v>18 CANON Y SOBRECANON, REGALIAS, RENTA DE ADUANAS Y PARTICIPACIONES</v>
      </c>
      <c r="C917" s="17" t="str">
        <v/>
      </c>
      <c r="D917" s="18">
        <v>0</v>
      </c>
      <c r="E917" s="18">
        <v>43900</v>
      </c>
      <c r="F917" s="18">
        <v>43900</v>
      </c>
      <c r="G917" s="19">
        <v>0</v>
      </c>
      <c r="H917" s="19">
        <v>0</v>
      </c>
      <c r="I917" s="19">
        <v>0</v>
      </c>
      <c r="J917" s="19">
        <v>0</v>
      </c>
      <c r="K917" s="19">
        <v>0</v>
      </c>
      <c r="L917" s="19">
        <v>0</v>
      </c>
      <c r="M917" s="20">
        <f>IF(G917&gt;0,J917/G917,0)</f>
      </c>
    </row>
    <row r="918" ht="14.4" customHeight="1">
      <c r="A918" s="21" t="str">
        <v/>
      </c>
      <c r="B918" s="22" t="str">
        <v>2.6.8.1.3.1     ELABORACION DE EXPEDIENTES TECNICOS</v>
      </c>
      <c r="C918" s="23" t="str">
        <v/>
      </c>
      <c r="D918" s="24">
        <v>0</v>
      </c>
      <c r="E918" s="24">
        <v>43900</v>
      </c>
      <c r="F918" s="24">
        <v>43900</v>
      </c>
      <c r="G918" s="25">
        <v>0</v>
      </c>
      <c r="H918" s="25">
        <v>0</v>
      </c>
      <c r="I918" s="25">
        <v>0</v>
      </c>
      <c r="J918" s="25">
        <v>0</v>
      </c>
      <c r="K918" s="25">
        <v>0</v>
      </c>
      <c r="L918" s="25">
        <v>0</v>
      </c>
      <c r="M918" s="26">
        <f>IF(G918&gt;0,J918/G918,0)</f>
      </c>
    </row>
    <row r="919" ht="14.4" customHeight="1">
      <c r="A919" s="15" t="str">
        <v>0114</v>
      </c>
      <c r="B919" s="16" t="str">
        <v>MEJORAMIENTO SERVICIO DE TRANSITABILIDAD VEHICULAR Y PEATONAL SECTOR LA VILLA Y SECTOR EL ALTO DE LA PALOMA DEL DISTRITO DE HUANCABAMBA, HUANCABAMBA, PIURA</v>
      </c>
      <c r="C919" s="17" t="str">
        <v/>
      </c>
      <c r="D919" s="18">
        <v>0</v>
      </c>
      <c r="E919" s="18">
        <v>43000</v>
      </c>
      <c r="F919" s="18">
        <v>43000</v>
      </c>
      <c r="G919" s="19">
        <v>0</v>
      </c>
      <c r="H919" s="19">
        <v>0</v>
      </c>
      <c r="I919" s="19">
        <v>0</v>
      </c>
      <c r="J919" s="19">
        <v>0</v>
      </c>
      <c r="K919" s="19">
        <v>0</v>
      </c>
      <c r="L919" s="19">
        <v>0</v>
      </c>
      <c r="M919" s="20">
        <f>IF(G919&gt;0,J919/G919,0)</f>
      </c>
    </row>
    <row r="920" ht="14.4" customHeight="1">
      <c r="A920" s="15" t="str">
        <v/>
      </c>
      <c r="B920" s="16" t="str">
        <v>18 CANON Y SOBRECANON, REGALIAS, RENTA DE ADUANAS Y PARTICIPACIONES</v>
      </c>
      <c r="C920" s="17" t="str">
        <v/>
      </c>
      <c r="D920" s="18">
        <v>0</v>
      </c>
      <c r="E920" s="18">
        <v>43000</v>
      </c>
      <c r="F920" s="18">
        <v>43000</v>
      </c>
      <c r="G920" s="19">
        <v>0</v>
      </c>
      <c r="H920" s="19">
        <v>0</v>
      </c>
      <c r="I920" s="19">
        <v>0</v>
      </c>
      <c r="J920" s="19">
        <v>0</v>
      </c>
      <c r="K920" s="19">
        <v>0</v>
      </c>
      <c r="L920" s="19">
        <v>0</v>
      </c>
      <c r="M920" s="20">
        <f>IF(G920&gt;0,J920/G920,0)</f>
      </c>
    </row>
    <row r="921" ht="14.4" customHeight="1">
      <c r="A921" s="21" t="str">
        <v/>
      </c>
      <c r="B921" s="22" t="str">
        <v>2.6.8.1.3.1     ELABORACION DE EXPEDIENTES TECNICOS</v>
      </c>
      <c r="C921" s="23" t="str">
        <v/>
      </c>
      <c r="D921" s="24">
        <v>0</v>
      </c>
      <c r="E921" s="24">
        <v>43000</v>
      </c>
      <c r="F921" s="24">
        <v>43000</v>
      </c>
      <c r="G921" s="25">
        <v>0</v>
      </c>
      <c r="H921" s="25">
        <v>0</v>
      </c>
      <c r="I921" s="25">
        <v>0</v>
      </c>
      <c r="J921" s="25">
        <v>0</v>
      </c>
      <c r="K921" s="25">
        <v>0</v>
      </c>
      <c r="L921" s="25">
        <v>0</v>
      </c>
      <c r="M921" s="26">
        <f>IF(G921&gt;0,J921/G921,0)</f>
      </c>
    </row>
    <row r="922" ht="14.4" customHeight="1">
      <c r="A922" s="15" t="str">
        <v>0115</v>
      </c>
      <c r="B922" s="16" t="str">
        <v>TIPOLOGIA 03 - ACTIVIDAD DE INTERVENCIÓN INMEDIATA 4500000045 - PIURA - HUANCABAMBA - HUANCABAMBA</v>
      </c>
      <c r="C922" s="17" t="str">
        <v/>
      </c>
      <c r="D922" s="18">
        <v>0</v>
      </c>
      <c r="E922" s="18">
        <v>105792</v>
      </c>
      <c r="F922" s="18">
        <v>105792</v>
      </c>
      <c r="G922" s="19">
        <v>0</v>
      </c>
      <c r="H922" s="19">
        <v>0</v>
      </c>
      <c r="I922" s="19">
        <v>0</v>
      </c>
      <c r="J922" s="19">
        <v>0</v>
      </c>
      <c r="K922" s="19">
        <v>0</v>
      </c>
      <c r="L922" s="19">
        <v>0</v>
      </c>
      <c r="M922" s="20">
        <f>IF(G922&gt;0,J922/G922,0)</f>
      </c>
    </row>
    <row r="923" ht="14.4" customHeight="1">
      <c r="A923" s="15" t="str">
        <v/>
      </c>
      <c r="B923" s="16" t="str">
        <v>13 DONACIONES Y TRANSFERENCIAS</v>
      </c>
      <c r="C923" s="17" t="str">
        <v/>
      </c>
      <c r="D923" s="18">
        <v>0</v>
      </c>
      <c r="E923" s="18">
        <v>105792</v>
      </c>
      <c r="F923" s="18">
        <v>105792</v>
      </c>
      <c r="G923" s="19">
        <v>0</v>
      </c>
      <c r="H923" s="19">
        <v>0</v>
      </c>
      <c r="I923" s="19">
        <v>0</v>
      </c>
      <c r="J923" s="19">
        <v>0</v>
      </c>
      <c r="K923" s="19">
        <v>0</v>
      </c>
      <c r="L923" s="19">
        <v>0</v>
      </c>
      <c r="M923" s="20">
        <f>IF(G923&gt;0,J923/G923,0)</f>
      </c>
    </row>
    <row r="924" ht="14.4" customHeight="1">
      <c r="A924" s="21" t="str">
        <v/>
      </c>
      <c r="B924" s="22" t="str">
        <v>2.3.1.1.1.1     ALIMENTOS Y BEBIDAS PARA CONSUMO HUMANO</v>
      </c>
      <c r="C924" s="23" t="str">
        <v/>
      </c>
      <c r="D924" s="24">
        <v>0</v>
      </c>
      <c r="E924" s="24">
        <v>2420</v>
      </c>
      <c r="F924" s="24">
        <v>2420</v>
      </c>
      <c r="G924" s="25">
        <v>0</v>
      </c>
      <c r="H924" s="25">
        <v>0</v>
      </c>
      <c r="I924" s="25">
        <v>0</v>
      </c>
      <c r="J924" s="25">
        <v>0</v>
      </c>
      <c r="K924" s="25">
        <v>0</v>
      </c>
      <c r="L924" s="25">
        <v>0</v>
      </c>
      <c r="M924" s="26">
        <f>IF(G924&gt;0,J924/G924,0)</f>
      </c>
    </row>
    <row r="925" ht="14.4" customHeight="1">
      <c r="A925" s="21" t="str">
        <v/>
      </c>
      <c r="B925" s="22" t="str">
        <v>2.3.1.11.1.1     PARA EDIFICIOS Y ESTRUCTURAS</v>
      </c>
      <c r="C925" s="23" t="str">
        <v/>
      </c>
      <c r="D925" s="24">
        <v>0</v>
      </c>
      <c r="E925" s="24">
        <v>2573</v>
      </c>
      <c r="F925" s="24">
        <v>2573</v>
      </c>
      <c r="G925" s="25">
        <v>0</v>
      </c>
      <c r="H925" s="25">
        <v>0</v>
      </c>
      <c r="I925" s="25">
        <v>0</v>
      </c>
      <c r="J925" s="25">
        <v>0</v>
      </c>
      <c r="K925" s="25">
        <v>0</v>
      </c>
      <c r="L925" s="25">
        <v>0</v>
      </c>
      <c r="M925" s="26">
        <f>IF(G925&gt;0,J925/G925,0)</f>
      </c>
    </row>
    <row r="926" ht="14.4" customHeight="1">
      <c r="A926" s="21" t="str">
        <v/>
      </c>
      <c r="B926" s="22" t="str">
        <v>2.3.1.11.1.6     MATERIALES DE  ACONDICIONAMIENTO</v>
      </c>
      <c r="C926" s="23" t="str">
        <v/>
      </c>
      <c r="D926" s="24">
        <v>0</v>
      </c>
      <c r="E926" s="24">
        <v>350</v>
      </c>
      <c r="F926" s="24">
        <v>350</v>
      </c>
      <c r="G926" s="25">
        <v>0</v>
      </c>
      <c r="H926" s="25">
        <v>0</v>
      </c>
      <c r="I926" s="25">
        <v>0</v>
      </c>
      <c r="J926" s="25">
        <v>0</v>
      </c>
      <c r="K926" s="25">
        <v>0</v>
      </c>
      <c r="L926" s="25">
        <v>0</v>
      </c>
      <c r="M926" s="26">
        <f>IF(G926&gt;0,J926/G926,0)</f>
      </c>
    </row>
    <row r="927" ht="14.4" customHeight="1">
      <c r="A927" s="21" t="str">
        <v/>
      </c>
      <c r="B927" s="22" t="str">
        <v>2.3.1.5.1.2     PAPELERIA EN GENERAL, UTILES Y MATERIALES DE OFICINA</v>
      </c>
      <c r="C927" s="23" t="str">
        <v/>
      </c>
      <c r="D927" s="24">
        <v>0</v>
      </c>
      <c r="E927" s="24">
        <v>593</v>
      </c>
      <c r="F927" s="24">
        <v>593</v>
      </c>
      <c r="G927" s="25">
        <v>0</v>
      </c>
      <c r="H927" s="25">
        <v>0</v>
      </c>
      <c r="I927" s="25">
        <v>0</v>
      </c>
      <c r="J927" s="25">
        <v>0</v>
      </c>
      <c r="K927" s="25">
        <v>0</v>
      </c>
      <c r="L927" s="25">
        <v>0</v>
      </c>
      <c r="M927" s="26">
        <f>IF(G927&gt;0,J927/G927,0)</f>
      </c>
    </row>
    <row r="928" ht="14.4" customHeight="1">
      <c r="A928" s="21" t="str">
        <v/>
      </c>
      <c r="B928" s="22" t="str">
        <v>2.3.1.5.3.1     ASEO, LIMPIEZA Y TOCADOR</v>
      </c>
      <c r="C928" s="23" t="str">
        <v/>
      </c>
      <c r="D928" s="24">
        <v>0</v>
      </c>
      <c r="E928" s="24">
        <v>1143</v>
      </c>
      <c r="F928" s="24">
        <v>1143</v>
      </c>
      <c r="G928" s="25">
        <v>0</v>
      </c>
      <c r="H928" s="25">
        <v>0</v>
      </c>
      <c r="I928" s="25">
        <v>0</v>
      </c>
      <c r="J928" s="25">
        <v>0</v>
      </c>
      <c r="K928" s="25">
        <v>0</v>
      </c>
      <c r="L928" s="25">
        <v>0</v>
      </c>
      <c r="M928" s="26">
        <f>IF(G928&gt;0,J928/G928,0)</f>
      </c>
    </row>
    <row r="929" ht="14.4" customHeight="1">
      <c r="A929" s="21" t="str">
        <v/>
      </c>
      <c r="B929" s="22" t="str">
        <v>2.3.1.5.99.99     OTROS</v>
      </c>
      <c r="C929" s="23" t="str">
        <v/>
      </c>
      <c r="D929" s="24">
        <v>0</v>
      </c>
      <c r="E929" s="24">
        <v>350</v>
      </c>
      <c r="F929" s="24">
        <v>350</v>
      </c>
      <c r="G929" s="25">
        <v>0</v>
      </c>
      <c r="H929" s="25">
        <v>0</v>
      </c>
      <c r="I929" s="25">
        <v>0</v>
      </c>
      <c r="J929" s="25">
        <v>0</v>
      </c>
      <c r="K929" s="25">
        <v>0</v>
      </c>
      <c r="L929" s="25">
        <v>0</v>
      </c>
      <c r="M929" s="26">
        <f>IF(G929&gt;0,J929/G929,0)</f>
      </c>
    </row>
    <row r="930" ht="14.4" customHeight="1">
      <c r="A930" s="21" t="str">
        <v/>
      </c>
      <c r="B930" s="22" t="str">
        <v>2.3.1.6.1.3     DE CONSTRUCCION Y MAQUINAS</v>
      </c>
      <c r="C930" s="23" t="str">
        <v/>
      </c>
      <c r="D930" s="24">
        <v>0</v>
      </c>
      <c r="E930" s="24">
        <v>425</v>
      </c>
      <c r="F930" s="24">
        <v>425</v>
      </c>
      <c r="G930" s="25">
        <v>0</v>
      </c>
      <c r="H930" s="25">
        <v>0</v>
      </c>
      <c r="I930" s="25">
        <v>0</v>
      </c>
      <c r="J930" s="25">
        <v>0</v>
      </c>
      <c r="K930" s="25">
        <v>0</v>
      </c>
      <c r="L930" s="25">
        <v>0</v>
      </c>
      <c r="M930" s="26">
        <f>IF(G930&gt;0,J930/G930,0)</f>
      </c>
    </row>
    <row r="931" ht="14.4" customHeight="1">
      <c r="A931" s="21" t="str">
        <v/>
      </c>
      <c r="B931" s="22" t="str">
        <v>2.3.1.8.2.1     MATERIAL, INSUMOS, INSTRUMENTAL Y ACCESORIOS  MEDICOS, QUIRURGICOS, ODONTOLOGI</v>
      </c>
      <c r="C931" s="23" t="str">
        <v/>
      </c>
      <c r="D931" s="24">
        <v>0</v>
      </c>
      <c r="E931" s="24">
        <v>0</v>
      </c>
      <c r="F931" s="24">
        <v>0</v>
      </c>
      <c r="G931" s="25">
        <v>0</v>
      </c>
      <c r="H931" s="25">
        <v>0</v>
      </c>
      <c r="I931" s="25">
        <v>0</v>
      </c>
      <c r="J931" s="25">
        <v>0</v>
      </c>
      <c r="K931" s="25">
        <v>0</v>
      </c>
      <c r="L931" s="25">
        <v>0</v>
      </c>
      <c r="M931" s="26">
        <f>IF(G931&gt;0,J931/G931,0)</f>
      </c>
    </row>
    <row r="932" ht="14.4" customHeight="1">
      <c r="A932" s="21" t="str">
        <v/>
      </c>
      <c r="B932" s="22" t="str">
        <v>2.3.1.9.1.1     LIBROS, TEXTOS Y OTROS MATERIALES IMPRESOS</v>
      </c>
      <c r="C932" s="23" t="str">
        <v/>
      </c>
      <c r="D932" s="24">
        <v>0</v>
      </c>
      <c r="E932" s="24">
        <v>1038</v>
      </c>
      <c r="F932" s="24">
        <v>1038</v>
      </c>
      <c r="G932" s="25">
        <v>0</v>
      </c>
      <c r="H932" s="25">
        <v>0</v>
      </c>
      <c r="I932" s="25">
        <v>0</v>
      </c>
      <c r="J932" s="25">
        <v>0</v>
      </c>
      <c r="K932" s="25">
        <v>0</v>
      </c>
      <c r="L932" s="25">
        <v>0</v>
      </c>
      <c r="M932" s="26">
        <f>IF(G932&gt;0,J932/G932,0)</f>
      </c>
    </row>
    <row r="933" ht="14.4" customHeight="1">
      <c r="A933" s="21" t="str">
        <v/>
      </c>
      <c r="B933" s="22" t="str">
        <v>2.3.1.9.1.99     OTROS MATERIALES DIVERSOS DE ENSEÑANZA</v>
      </c>
      <c r="C933" s="23" t="str">
        <v/>
      </c>
      <c r="D933" s="24">
        <v>0</v>
      </c>
      <c r="E933" s="24">
        <v>15027</v>
      </c>
      <c r="F933" s="24">
        <v>15027</v>
      </c>
      <c r="G933" s="25">
        <v>0</v>
      </c>
      <c r="H933" s="25">
        <v>0</v>
      </c>
      <c r="I933" s="25">
        <v>0</v>
      </c>
      <c r="J933" s="25">
        <v>0</v>
      </c>
      <c r="K933" s="25">
        <v>0</v>
      </c>
      <c r="L933" s="25">
        <v>0</v>
      </c>
      <c r="M933" s="26">
        <f>IF(G933&gt;0,J933/G933,0)</f>
      </c>
    </row>
    <row r="934" ht="14.4" customHeight="1">
      <c r="A934" s="21" t="str">
        <v/>
      </c>
      <c r="B934" s="22" t="str">
        <v>2.3.1.99.1.1     HERRAMIENTAS</v>
      </c>
      <c r="C934" s="23" t="str">
        <v/>
      </c>
      <c r="D934" s="24">
        <v>0</v>
      </c>
      <c r="E934" s="24">
        <v>10660</v>
      </c>
      <c r="F934" s="24">
        <v>10660</v>
      </c>
      <c r="G934" s="25">
        <v>0</v>
      </c>
      <c r="H934" s="25">
        <v>0</v>
      </c>
      <c r="I934" s="25">
        <v>0</v>
      </c>
      <c r="J934" s="25">
        <v>0</v>
      </c>
      <c r="K934" s="25">
        <v>0</v>
      </c>
      <c r="L934" s="25">
        <v>0</v>
      </c>
      <c r="M934" s="26">
        <f>IF(G934&gt;0,J934/G934,0)</f>
      </c>
    </row>
    <row r="935" ht="14.4" customHeight="1">
      <c r="A935" s="21" t="str">
        <v/>
      </c>
      <c r="B935" s="22" t="str">
        <v>2.3.1.99.1.99     OTROS BIENES</v>
      </c>
      <c r="C935" s="23" t="str">
        <v/>
      </c>
      <c r="D935" s="24">
        <v>0</v>
      </c>
      <c r="E935" s="24">
        <v>45</v>
      </c>
      <c r="F935" s="24">
        <v>45</v>
      </c>
      <c r="G935" s="25">
        <v>0</v>
      </c>
      <c r="H935" s="25">
        <v>0</v>
      </c>
      <c r="I935" s="25">
        <v>0</v>
      </c>
      <c r="J935" s="25">
        <v>0</v>
      </c>
      <c r="K935" s="25">
        <v>0</v>
      </c>
      <c r="L935" s="25">
        <v>0</v>
      </c>
      <c r="M935" s="26">
        <f>IF(G935&gt;0,J935/G935,0)</f>
      </c>
    </row>
    <row r="936" ht="14.4" customHeight="1">
      <c r="A936" s="21" t="str">
        <v/>
      </c>
      <c r="B936" s="22" t="str">
        <v>2.3.2.10.1.1     PROPINAS A VOLUNTARIOS</v>
      </c>
      <c r="C936" s="23" t="str">
        <v/>
      </c>
      <c r="D936" s="24">
        <v>0</v>
      </c>
      <c r="E936" s="24">
        <v>49919</v>
      </c>
      <c r="F936" s="24">
        <v>49919</v>
      </c>
      <c r="G936" s="25">
        <v>0</v>
      </c>
      <c r="H936" s="25">
        <v>0</v>
      </c>
      <c r="I936" s="25">
        <v>0</v>
      </c>
      <c r="J936" s="25">
        <v>0</v>
      </c>
      <c r="K936" s="25">
        <v>0</v>
      </c>
      <c r="L936" s="25">
        <v>0</v>
      </c>
      <c r="M936" s="26">
        <f>IF(G936&gt;0,J936/G936,0)</f>
      </c>
    </row>
    <row r="937" ht="14.4" customHeight="1">
      <c r="A937" s="21" t="str">
        <v/>
      </c>
      <c r="B937" s="22" t="str">
        <v>2.3.2.5.1.99     DE OTROS BIENES Y ACTIVOS</v>
      </c>
      <c r="C937" s="23" t="str">
        <v/>
      </c>
      <c r="D937" s="24">
        <v>0</v>
      </c>
      <c r="E937" s="24">
        <v>2163</v>
      </c>
      <c r="F937" s="24">
        <v>2163</v>
      </c>
      <c r="G937" s="25">
        <v>0</v>
      </c>
      <c r="H937" s="25">
        <v>0</v>
      </c>
      <c r="I937" s="25">
        <v>0</v>
      </c>
      <c r="J937" s="25">
        <v>0</v>
      </c>
      <c r="K937" s="25">
        <v>0</v>
      </c>
      <c r="L937" s="25">
        <v>0</v>
      </c>
      <c r="M937" s="26">
        <f>IF(G937&gt;0,J937/G937,0)</f>
      </c>
    </row>
    <row r="938" ht="14.4" customHeight="1">
      <c r="A938" s="21" t="str">
        <v/>
      </c>
      <c r="B938" s="22" t="str">
        <v>2.3.2.6.3.4     OTROS SEGUROS PERSONALES</v>
      </c>
      <c r="C938" s="23" t="str">
        <v/>
      </c>
      <c r="D938" s="24">
        <v>0</v>
      </c>
      <c r="E938" s="24">
        <v>1886</v>
      </c>
      <c r="F938" s="24">
        <v>1886</v>
      </c>
      <c r="G938" s="25">
        <v>0</v>
      </c>
      <c r="H938" s="25">
        <v>0</v>
      </c>
      <c r="I938" s="25">
        <v>0</v>
      </c>
      <c r="J938" s="25">
        <v>0</v>
      </c>
      <c r="K938" s="25">
        <v>0</v>
      </c>
      <c r="L938" s="25">
        <v>0</v>
      </c>
      <c r="M938" s="26">
        <f>IF(G938&gt;0,J938/G938,0)</f>
      </c>
    </row>
    <row r="939" ht="14.4" customHeight="1">
      <c r="A939" s="21" t="str">
        <v/>
      </c>
      <c r="B939" s="22" t="str">
        <v>2.3.2.7.11.2     TRANSPORTE Y TRASLADO DE CARGA, BIENES Y MATERIALES</v>
      </c>
      <c r="C939" s="23" t="str">
        <v/>
      </c>
      <c r="D939" s="24">
        <v>0</v>
      </c>
      <c r="E939" s="24">
        <v>2000</v>
      </c>
      <c r="F939" s="24">
        <v>2000</v>
      </c>
      <c r="G939" s="25">
        <v>0</v>
      </c>
      <c r="H939" s="25">
        <v>0</v>
      </c>
      <c r="I939" s="25">
        <v>0</v>
      </c>
      <c r="J939" s="25">
        <v>0</v>
      </c>
      <c r="K939" s="25">
        <v>0</v>
      </c>
      <c r="L939" s="25">
        <v>0</v>
      </c>
      <c r="M939" s="26">
        <f>IF(G939&gt;0,J939/G939,0)</f>
      </c>
    </row>
    <row r="940" ht="14.4" customHeight="1">
      <c r="A940" s="21" t="str">
        <v/>
      </c>
      <c r="B940" s="22" t="str">
        <v>2.3.2.7.11.3     SERVICIOS RELACIONADOS CON FLORERIA, JARDINERIA Y OTRAS ACTIVIDADES SIMILARES</v>
      </c>
      <c r="C940" s="23" t="str">
        <v/>
      </c>
      <c r="D940" s="24">
        <v>0</v>
      </c>
      <c r="E940" s="24">
        <v>0</v>
      </c>
      <c r="F940" s="24">
        <v>0</v>
      </c>
      <c r="G940" s="25">
        <v>0</v>
      </c>
      <c r="H940" s="25">
        <v>0</v>
      </c>
      <c r="I940" s="25">
        <v>0</v>
      </c>
      <c r="J940" s="25">
        <v>0</v>
      </c>
      <c r="K940" s="25">
        <v>0</v>
      </c>
      <c r="L940" s="25">
        <v>0</v>
      </c>
      <c r="M940" s="26">
        <f>IF(G940&gt;0,J940/G940,0)</f>
      </c>
    </row>
    <row r="941" ht="14.4" customHeight="1">
      <c r="A941" s="27" t="str">
        <v/>
      </c>
      <c r="B941" s="28" t="str">
        <v>2.3.2.7.14.98     OTROS SERVICIOS TÉCNICOS Y PROFESIONALES DESARROLLADOS POR PERSONAS NATURALES</v>
      </c>
      <c r="C941" s="29" t="str">
        <v/>
      </c>
      <c r="D941" s="30">
        <v>0</v>
      </c>
      <c r="E941" s="30">
        <v>15200</v>
      </c>
      <c r="F941" s="30">
        <v>15200</v>
      </c>
      <c r="G941" s="31">
        <v>0</v>
      </c>
      <c r="H941" s="31">
        <v>0</v>
      </c>
      <c r="I941" s="31">
        <v>0</v>
      </c>
      <c r="J941" s="31">
        <v>0</v>
      </c>
      <c r="K941" s="31">
        <v>0</v>
      </c>
      <c r="L941" s="31">
        <v>0</v>
      </c>
      <c r="M941" s="32">
        <f>IF(G941&gt;0,J941/G941,0)</f>
      </c>
    </row>
    <row r="942" ht="15" customHeight="1">
      <c r="A942" s="33" t="str">
        <v/>
      </c>
      <c r="B942" s="34" t="str">
        <v>T O T A L E S</v>
      </c>
      <c r="C942" s="35" t="str">
        <v/>
      </c>
      <c r="D942" s="36">
        <f>SUBTOTAL(9,D5:D941)</f>
      </c>
      <c r="E942" s="36">
        <f>SUBTOTAL(9,E5:E941)</f>
      </c>
      <c r="F942" s="36">
        <f>SUBTOTAL(9,F5:F941)</f>
      </c>
      <c r="G942" s="37">
        <f>SUBTOTAL(9,G5:G941)</f>
      </c>
      <c r="H942" s="37">
        <f>SUBTOTAL(9,H5:H941)</f>
      </c>
      <c r="I942" s="37">
        <f>SUBTOTAL(9,I5:I941)</f>
      </c>
      <c r="J942" s="37">
        <f>SUBTOTAL(9,J5:J941)</f>
      </c>
      <c r="K942" s="37">
        <f>SUBTOTAL(9,K5:K941)</f>
      </c>
      <c r="L942" s="37">
        <f>SUBTOTAL(9,L5:L941)</f>
      </c>
      <c r="M942" s="38">
        <f>J942/G942</f>
      </c>
    </row>
  </sheetData>
  <mergeCells count="2">
    <mergeCell ref="L1:M1"/>
    <mergeCell ref="A2:M2"/>
  </mergeCells>
  <ignoredErrors>
    <ignoredError numberStoredAsText="1" sqref="A1:M9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Registros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