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gistr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2" x14ac:knownFonts="1">
    <font>
      <sz val="11"/>
      <name val="Calibri"/>
    </font>
    <font>
      <sz val="11"/>
      <name val="Calibri"/>
    </font>
    <font>
      <sz val="11"/>
      <name val="Arial Narrow"/>
      <color rgb="000000"/>
    </font>
    <font>
      <sz val="11"/>
      <name val="Arial Narrow"/>
      <color rgb="000000"/>
    </font>
    <font>
      <sz val="14"/>
      <name val="Arial Narrow"/>
      <b/>
      <color rgb="FFFFFF"/>
    </font>
    <font>
      <sz val="10"/>
      <name val="Arial Narrow"/>
      <color rgb="000000"/>
    </font>
    <font>
      <sz val="10"/>
      <name val="Arial Narrow"/>
      <color rgb="000000"/>
    </font>
    <font>
      <sz val="10"/>
      <name val="Arial Narrow"/>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1"/>
      <name val="Arial Narrow"/>
      <b/>
      <color rgb="000000"/>
    </font>
    <font>
      <sz val="10"/>
      <name val="Arial Narrow"/>
      <color rgb="000000"/>
    </font>
    <font>
      <sz val="10"/>
      <name val="Arial Narrow"/>
      <color rgb="000000"/>
    </font>
    <font>
      <sz val="10"/>
      <name val="Arial Narrow"/>
      <color rgb="000000"/>
    </font>
  </fonts>
  <fills count="3">
    <fill>
      <patternFill patternType="none">
        <bgColor/>
      </patternFill>
    </fill>
    <fill>
      <patternFill patternType="gray125">
        <bgColor/>
      </patternFill>
    </fill>
    <fill>
      <patternFill patternType="solid">
        <fgColor rgb="FF44546A"/>
        <bgColor/>
      </patternFill>
    </fill>
  </fills>
  <borders count="30">
    <border>
      <left/>
      <right/>
      <top/>
      <bottom/>
      <diagonal/>
    </border>
    <border>
      <left/>
      <right/>
      <top/>
      <bottom/>
      <diagonal/>
    </border>
    <border>
      <left style="medium">
        <color rgb="000000"/>
      </left>
      <right/>
      <top style="medium">
        <color rgb="000000"/>
      </top>
      <bottom style="medium">
        <color rgb="000000"/>
      </bottom>
      <diagonal/>
    </border>
    <border>
      <left/>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top style="medium">
        <color rgb="000000"/>
      </top>
      <bottom style="hair">
        <color rgb="A0A0A0"/>
      </bottom>
      <diagonal/>
    </border>
    <border>
      <left/>
      <right/>
      <top style="medium">
        <color rgb="000000"/>
      </top>
      <bottom style="hair">
        <color rgb="A0A0A0"/>
      </bottom>
      <diagonal/>
    </border>
    <border>
      <left/>
      <right/>
      <top style="medium">
        <color rgb="000000"/>
      </top>
      <bottom style="hair">
        <color rgb="A0A0A0"/>
      </bottom>
      <diagonal/>
    </border>
    <border>
      <left/>
      <right/>
      <top style="medium">
        <color rgb="000000"/>
      </top>
      <bottom style="hair">
        <color rgb="A0A0A0"/>
      </bottom>
      <diagonal/>
    </border>
    <border>
      <left/>
      <right style="medium">
        <color rgb="000000"/>
      </right>
      <top style="medium">
        <color rgb="000000"/>
      </top>
      <bottom style="hair">
        <color rgb="A0A0A0"/>
      </bottom>
      <diagonal/>
    </border>
    <border>
      <left style="medium">
        <color rgb="000000"/>
      </left>
      <right/>
      <top/>
      <bottom style="hair">
        <color rgb="A0A0A0"/>
      </bottom>
      <diagonal/>
    </border>
    <border>
      <left/>
      <right/>
      <top/>
      <bottom style="hair">
        <color rgb="A0A0A0"/>
      </bottom>
      <diagonal/>
    </border>
    <border>
      <left/>
      <right/>
      <top/>
      <bottom style="hair">
        <color rgb="A0A0A0"/>
      </bottom>
      <diagonal/>
    </border>
    <border>
      <left/>
      <right/>
      <top/>
      <bottom style="hair">
        <color rgb="A0A0A0"/>
      </bottom>
      <diagonal/>
    </border>
    <border>
      <left/>
      <right style="medium">
        <color rgb="000000"/>
      </right>
      <top/>
      <bottom style="hair">
        <color rgb="A0A0A0"/>
      </bottom>
      <diagonal/>
    </border>
    <border>
      <left style="medium">
        <color rgb="000000"/>
      </left>
      <right/>
      <top/>
      <bottom style="hair">
        <color rgb="A0A0A0"/>
      </bottom>
      <diagonal/>
    </border>
    <border>
      <left/>
      <right/>
      <top/>
      <bottom style="hair">
        <color rgb="A0A0A0"/>
      </bottom>
      <diagonal/>
    </border>
    <border>
      <left/>
      <right/>
      <top/>
      <bottom style="hair">
        <color rgb="A0A0A0"/>
      </bottom>
      <diagonal/>
    </border>
    <border>
      <left/>
      <right/>
      <top/>
      <bottom style="hair">
        <color rgb="A0A0A0"/>
      </bottom>
      <diagonal/>
    </border>
    <border>
      <left/>
      <right style="medium">
        <color rgb="000000"/>
      </right>
      <top/>
      <bottom style="hair">
        <color rgb="A0A0A0"/>
      </bottom>
      <diagonal/>
    </border>
    <border>
      <left style="medium">
        <color rgb="000000"/>
      </left>
      <right/>
      <top style="hair">
        <color rgb="A0A0A0"/>
      </top>
      <bottom style="medium">
        <color rgb="000000"/>
      </bottom>
      <diagonal/>
    </border>
    <border>
      <left/>
      <right/>
      <top style="hair">
        <color rgb="A0A0A0"/>
      </top>
      <bottom style="medium">
        <color rgb="000000"/>
      </bottom>
      <diagonal/>
    </border>
    <border>
      <left/>
      <right/>
      <top style="hair">
        <color rgb="A0A0A0"/>
      </top>
      <bottom style="medium">
        <color rgb="000000"/>
      </bottom>
      <diagonal/>
    </border>
    <border>
      <left/>
      <right/>
      <top style="hair">
        <color rgb="A0A0A0"/>
      </top>
      <bottom style="medium">
        <color rgb="000000"/>
      </bottom>
      <diagonal/>
    </border>
    <border>
      <left/>
      <right style="medium">
        <color rgb="000000"/>
      </right>
      <top style="hair">
        <color rgb="A0A0A0"/>
      </top>
      <bottom style="medium">
        <color rgb="000000"/>
      </bottom>
      <diagonal/>
    </border>
    <border>
      <left style="medium">
        <color rgb="000000"/>
      </left>
      <right/>
      <top style="medium">
        <color rgb="000000"/>
      </top>
      <bottom style="medium">
        <color rgb="000000"/>
      </bottom>
      <diagonal/>
    </border>
    <border>
      <left/>
      <right/>
      <top style="medium">
        <color rgb="000000"/>
      </top>
      <bottom style="medium">
        <color rgb="000000"/>
      </bottom>
      <diagonal/>
    </border>
    <border>
      <left/>
      <right/>
      <top style="medium">
        <color rgb="000000"/>
      </top>
      <bottom style="medium">
        <color rgb="000000"/>
      </bottom>
      <diagonal/>
    </border>
    <border>
      <left/>
      <right/>
      <top style="medium">
        <color rgb="000000"/>
      </top>
      <bottom style="medium">
        <color rgb="000000"/>
      </bottom>
      <diagonal/>
    </border>
    <border>
      <left/>
      <right style="medium">
        <color rgb="000000"/>
      </right>
      <top style="medium">
        <color rgb="000000"/>
      </top>
      <bottom style="medium">
        <color rgb="000000"/>
      </bottom>
      <diagonal/>
    </border>
  </borders>
  <cellStyleXfs>
    <xf numFmtId="0" fontId="0" fillId="0" borderId="0"/>
  </cellStyleXfs>
  <cellXfs count="34">
    <xf numFmtId="0" fontId="0" fillId="0" borderId="0" xfId="0"/>
    <xf numFmtId="0" fontId="1" fillId="1" borderId="1" xfId="0" applyFont="1" applyFill="1" applyBorder="1"/>
    <xf numFmtId="0" fontId="0" fillId="0" borderId="0" xfId="0"/>
    <xf numFmtId="0" fontId="2" fillId="0" borderId="0" xfId="0" applyFont="1" applyAlignment="1">
      <alignment horizontal="left" vertical="center"/>
    </xf>
    <xf numFmtId="22" fontId="3" fillId="0" borderId="0" xfId="0" applyFont="1" applyNumberFormat="1" applyAlignment="1">
      <alignment horizontal="right" vertical="center"/>
    </xf>
    <xf numFmtId="0" fontId="4" fillId="2" borderId="0" xfId="0" applyFont="1" applyFill="1" applyAlignment="1">
      <alignment horizontal="center"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0" fontId="7" fillId="0" borderId="4" xfId="0" applyFont="1" applyBorder="1" applyAlignment="1">
      <alignment horizontal="center" vertical="center"/>
    </xf>
    <xf numFmtId="0" fontId="8" fillId="0" borderId="5" xfId="0" applyFont="1" applyBorder="1" applyAlignment="1">
      <alignment horizontal="center" vertical="center"/>
    </xf>
    <xf numFmtId="0" fontId="9" fillId="0" borderId="6" xfId="0" applyFont="1" applyBorder="1" applyAlignment="1">
      <alignment horizontal="left" vertical="center"/>
    </xf>
    <xf numFmtId="3" fontId="10" fillId="0" borderId="7" xfId="0" applyFont="1" applyBorder="1" applyNumberFormat="1" applyAlignment="1">
      <alignment horizontal="right" vertical="center"/>
    </xf>
    <xf numFmtId="4" fontId="11" fillId="0" borderId="8" xfId="0" applyFont="1" applyBorder="1" applyNumberFormat="1" applyAlignment="1">
      <alignment horizontal="right" vertical="center"/>
    </xf>
    <xf numFmtId="10" fontId="12" fillId="0" borderId="9" xfId="0" applyFont="1" applyBorder="1" applyNumberFormat="1" applyAlignment="1">
      <alignment horizontal="right" vertical="center"/>
    </xf>
    <xf numFmtId="0" fontId="13" fillId="0" borderId="10" xfId="0" applyFont="1" applyBorder="1" applyAlignment="1">
      <alignment horizontal="center" vertical="center"/>
    </xf>
    <xf numFmtId="0" fontId="14" fillId="0" borderId="11" xfId="0" applyFont="1" applyBorder="1" applyAlignment="1">
      <alignment horizontal="left" vertical="center"/>
    </xf>
    <xf numFmtId="3" fontId="15" fillId="0" borderId="12" xfId="0" applyFont="1" applyBorder="1" applyNumberFormat="1" applyAlignment="1">
      <alignment horizontal="right" vertical="center"/>
    </xf>
    <xf numFmtId="4" fontId="16" fillId="0" borderId="13" xfId="0" applyFont="1" applyBorder="1" applyNumberFormat="1" applyAlignment="1">
      <alignment horizontal="right" vertical="center"/>
    </xf>
    <xf numFmtId="10" fontId="17" fillId="0" borderId="14" xfId="0" applyFont="1" applyBorder="1" applyNumberFormat="1" applyAlignment="1">
      <alignment horizontal="right" vertical="center"/>
    </xf>
    <xf numFmtId="0" fontId="18" fillId="0" borderId="15" xfId="0" applyFont="1" applyBorder="1" applyAlignment="1">
      <alignment horizontal="center" vertical="center"/>
    </xf>
    <xf numFmtId="0" fontId="19" fillId="0" borderId="16" xfId="0" applyFont="1" applyBorder="1" applyAlignment="1">
      <alignment horizontal="left" vertical="center"/>
    </xf>
    <xf numFmtId="3" fontId="20" fillId="0" borderId="17" xfId="0" applyFont="1" applyBorder="1" applyNumberFormat="1" applyAlignment="1">
      <alignment horizontal="right" vertical="center"/>
    </xf>
    <xf numFmtId="4" fontId="21" fillId="0" borderId="18" xfId="0" applyFont="1" applyBorder="1" applyNumberFormat="1" applyAlignment="1">
      <alignment horizontal="right" vertical="center"/>
    </xf>
    <xf numFmtId="10" fontId="22" fillId="0" borderId="19" xfId="0" applyFont="1" applyBorder="1" applyNumberFormat="1" applyAlignment="1">
      <alignment horizontal="right" vertical="center"/>
    </xf>
    <xf numFmtId="0" fontId="23" fillId="0" borderId="20" xfId="0" applyFont="1" applyBorder="1" applyAlignment="1">
      <alignment horizontal="center" vertical="center"/>
    </xf>
    <xf numFmtId="0" fontId="24" fillId="0" borderId="21" xfId="0" applyFont="1" applyBorder="1" applyAlignment="1">
      <alignment horizontal="left" vertical="center"/>
    </xf>
    <xf numFmtId="3" fontId="25" fillId="0" borderId="22" xfId="0" applyFont="1" applyBorder="1" applyNumberFormat="1" applyAlignment="1">
      <alignment horizontal="right" vertical="center"/>
    </xf>
    <xf numFmtId="4" fontId="26" fillId="0" borderId="23" xfId="0" applyFont="1" applyBorder="1" applyNumberFormat="1" applyAlignment="1">
      <alignment horizontal="right" vertical="center"/>
    </xf>
    <xf numFmtId="10" fontId="27" fillId="0" borderId="24" xfId="0" applyFont="1" applyBorder="1" applyNumberFormat="1" applyAlignment="1">
      <alignment horizontal="right" vertical="center"/>
    </xf>
    <xf numFmtId="0" fontId="0" fillId="0" borderId="25" xfId="0" applyBorder="1"/>
    <xf numFmtId="0" fontId="28" fillId="0" borderId="26" xfId="0" applyFont="1" applyBorder="1" applyAlignment="1">
      <alignment horizontal="center" vertical="center"/>
    </xf>
    <xf numFmtId="3" fontId="29" fillId="0" borderId="27" xfId="0" applyFont="1" applyBorder="1" applyNumberFormat="1" applyAlignment="1">
      <alignment horizontal="right" vertical="center"/>
    </xf>
    <xf numFmtId="4" fontId="30" fillId="0" borderId="28" xfId="0" applyFont="1" applyBorder="1" applyNumberFormat="1" applyAlignment="1">
      <alignment horizontal="right" vertical="center"/>
    </xf>
    <xf numFmtId="10" fontId="31" fillId="0" borderId="29" xfId="0" applyFont="1" applyBorder="1" applyNumberFormat="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40"/>
  <sheetViews>
    <sheetView workbookViewId="0"/>
  </sheetViews>
  <cols>
    <col min="1" max="1" width="7.1640625" customWidth="1"/>
    <col min="2" max="2" width="65.94140625" customWidth="1"/>
    <col min="3" max="3" width="12.2734375" customWidth="1"/>
    <col min="4" max="4" width="12.2734375" customWidth="1"/>
    <col min="5" max="5" width="12.2734375" customWidth="1"/>
    <col min="6" max="6" width="12.2734375" customWidth="1"/>
    <col min="7" max="7" width="14.94140625" customWidth="1"/>
    <col min="8" max="8" width="14.83203125" customWidth="1"/>
    <col min="9" max="9" width="12.2734375" customWidth="1"/>
    <col min="10" max="10" width="12.2734375" customWidth="1"/>
    <col min="11" max="11" width="12.2734375" customWidth="1"/>
    <col min="12" max="12" width="7.72265625" customWidth="1"/>
  </cols>
  <sheetData>
    <row r="1" ht="14.4" customHeight="1">
      <c r="A1" s="3" t="str">
        <v>301548 MUNICIPALIDAD PROVINCIAL DE HUANCABAMBA</v>
      </c>
      <c r="B1" s="2" t="str">
        <v/>
      </c>
      <c r="C1" s="2" t="str">
        <v/>
      </c>
      <c r="D1" s="2" t="str">
        <v/>
      </c>
      <c r="E1" s="2" t="str">
        <v/>
      </c>
      <c r="F1" s="2" t="str">
        <v/>
      </c>
      <c r="G1" s="2" t="str">
        <v/>
      </c>
      <c r="H1" s="2" t="str">
        <v/>
      </c>
      <c r="I1" s="2" t="str">
        <v/>
      </c>
      <c r="J1" s="2" t="str">
        <v/>
      </c>
      <c r="K1" s="4">
        <f>NOW()</f>
      </c>
      <c r="L1" s="2" t="str">
        <v/>
      </c>
    </row>
    <row r="2" ht="22.5" customHeight="1">
      <c r="A2" s="5" t="str">
        <v>Ejecución Presupuestal  - Programa Presupuestal</v>
      </c>
      <c r="B2" s="5" t="str">
        <v/>
      </c>
      <c r="C2" s="5" t="str">
        <v/>
      </c>
      <c r="D2" s="5" t="str">
        <v/>
      </c>
      <c r="E2" s="5" t="str">
        <v/>
      </c>
      <c r="F2" s="5" t="str">
        <v/>
      </c>
      <c r="G2" s="5" t="str">
        <v/>
      </c>
      <c r="H2" s="5" t="str">
        <v/>
      </c>
      <c r="I2" s="5" t="str">
        <v/>
      </c>
      <c r="J2" s="5" t="str">
        <v/>
      </c>
      <c r="K2" s="5" t="str">
        <v/>
      </c>
      <c r="L2" s="5" t="str">
        <v/>
      </c>
    </row>
    <row r="3" ht="14.4" customHeight="1">
      <c r="A3" s="2" t="str">
        <v/>
      </c>
      <c r="B3" s="2" t="str">
        <v/>
      </c>
      <c r="C3" s="2" t="str">
        <v/>
      </c>
      <c r="D3" s="2" t="str">
        <v/>
      </c>
      <c r="E3" s="2" t="str">
        <v/>
      </c>
      <c r="F3" s="2" t="str">
        <v/>
      </c>
      <c r="G3" s="2" t="str">
        <v/>
      </c>
      <c r="H3" s="2" t="str">
        <v/>
      </c>
      <c r="I3" s="2" t="str">
        <v/>
      </c>
      <c r="J3" s="2" t="str">
        <v/>
      </c>
      <c r="K3" s="2" t="str">
        <v/>
      </c>
      <c r="L3" s="2" t="str">
        <v/>
      </c>
    </row>
    <row r="4" ht="15" customHeight="1">
      <c r="A4" s="6" t="str">
        <v>Codigo</v>
      </c>
      <c r="B4" s="7" t="str">
        <v>Nombre Ppto</v>
      </c>
      <c r="C4" s="7" t="str">
        <v>Pia</v>
      </c>
      <c r="D4" s="7" t="str">
        <v>Mod</v>
      </c>
      <c r="E4" s="7" t="str">
        <v>Pím</v>
      </c>
      <c r="F4" s="7" t="str">
        <v>Certicado</v>
      </c>
      <c r="G4" s="7" t="str">
        <v>CompromisoA</v>
      </c>
      <c r="H4" s="7" t="str">
        <v>CompromisoM</v>
      </c>
      <c r="I4" s="7" t="str">
        <v>Devengado</v>
      </c>
      <c r="J4" s="7" t="str">
        <v>Girado</v>
      </c>
      <c r="K4" s="7" t="str">
        <v>Saldo</v>
      </c>
      <c r="L4" s="8" t="str">
        <v>Avan</v>
      </c>
    </row>
    <row r="5" ht="14.4" customHeight="1">
      <c r="A5" s="9" t="str">
        <v>0016</v>
      </c>
      <c r="B5" s="10" t="str">
        <v>TBC-VIH/SIDA</v>
      </c>
      <c r="C5" s="11">
        <v>52622</v>
      </c>
      <c r="D5" s="11">
        <v>0</v>
      </c>
      <c r="E5" s="11">
        <v>52622</v>
      </c>
      <c r="F5" s="12">
        <v>52621.99</v>
      </c>
      <c r="G5" s="12">
        <v>0</v>
      </c>
      <c r="H5" s="12">
        <v>0</v>
      </c>
      <c r="I5" s="12">
        <v>0</v>
      </c>
      <c r="J5" s="12">
        <v>0</v>
      </c>
      <c r="K5" s="12">
        <v>0</v>
      </c>
      <c r="L5" s="13">
        <f>IF(E5&gt;0,I5/E5,0)</f>
      </c>
    </row>
    <row r="6" ht="14.4" customHeight="1">
      <c r="A6" s="14" t="str">
        <v/>
      </c>
      <c r="B6" s="15" t="str">
        <v>0001 BRINDAR APOYO NUTRICIONAL A LAS PERSONAS AFECTADAS POR TUBERCULOSIS</v>
      </c>
      <c r="C6" s="16">
        <v>52622</v>
      </c>
      <c r="D6" s="16">
        <v>0</v>
      </c>
      <c r="E6" s="16">
        <v>52622</v>
      </c>
      <c r="F6" s="17">
        <v>52621.99</v>
      </c>
      <c r="G6" s="17">
        <v>0</v>
      </c>
      <c r="H6" s="17">
        <v>0</v>
      </c>
      <c r="I6" s="17">
        <v>0</v>
      </c>
      <c r="J6" s="17">
        <v>0</v>
      </c>
      <c r="K6" s="17">
        <v>0</v>
      </c>
      <c r="L6" s="18">
        <f>IF(E6&gt;0,I6/E6,0)</f>
      </c>
    </row>
    <row r="7" ht="14.4" customHeight="1">
      <c r="A7" s="19" t="str">
        <v>0030</v>
      </c>
      <c r="B7" s="20" t="str">
        <v>REDUCCION DE DELITOS Y FALTAS QUE AFECTAN LA SEGURIDAD CIUDADANA</v>
      </c>
      <c r="C7" s="21">
        <v>777153</v>
      </c>
      <c r="D7" s="21">
        <v>136600</v>
      </c>
      <c r="E7" s="21">
        <v>913753</v>
      </c>
      <c r="F7" s="22">
        <v>391734.03</v>
      </c>
      <c r="G7" s="22">
        <v>110333.99</v>
      </c>
      <c r="H7" s="22">
        <v>234514.05</v>
      </c>
      <c r="I7" s="22">
        <v>221014.05</v>
      </c>
      <c r="J7" s="22">
        <v>189584.51</v>
      </c>
      <c r="K7" s="22">
        <v>189584.51</v>
      </c>
      <c r="L7" s="23">
        <f>IF(E7&gt;0,I7/E7,0)</f>
      </c>
    </row>
    <row r="8" ht="14.4" customHeight="1">
      <c r="A8" s="14" t="str">
        <v/>
      </c>
      <c r="B8" s="15" t="str">
        <v>0002 PATRULLAJE MUNICIPAL POR SECTOR - SERENAZGO</v>
      </c>
      <c r="C8" s="16">
        <v>697153</v>
      </c>
      <c r="D8" s="16">
        <v>136600</v>
      </c>
      <c r="E8" s="16">
        <v>833753</v>
      </c>
      <c r="F8" s="17">
        <v>391734.03</v>
      </c>
      <c r="G8" s="17">
        <v>110333.99</v>
      </c>
      <c r="H8" s="17">
        <v>234514.05</v>
      </c>
      <c r="I8" s="17">
        <v>221014.05</v>
      </c>
      <c r="J8" s="17">
        <v>189584.51</v>
      </c>
      <c r="K8" s="17">
        <v>189584.51</v>
      </c>
      <c r="L8" s="18">
        <f>IF(E8&gt;0,I8/E8,0)</f>
      </c>
    </row>
    <row r="9" ht="14.4" customHeight="1">
      <c r="A9" s="14" t="str">
        <v/>
      </c>
      <c r="B9" s="15" t="str">
        <v>0003 COMUNIDAD RECIBE ACCIONES DE PREVENCION EN EL MARCO DEL PLAN DE SEGURIDAD CIUDADANA</v>
      </c>
      <c r="C9" s="16">
        <v>80000</v>
      </c>
      <c r="D9" s="16">
        <v>0</v>
      </c>
      <c r="E9" s="16">
        <v>80000</v>
      </c>
      <c r="F9" s="17">
        <v>0</v>
      </c>
      <c r="G9" s="17">
        <v>0</v>
      </c>
      <c r="H9" s="17">
        <v>0</v>
      </c>
      <c r="I9" s="17">
        <v>0</v>
      </c>
      <c r="J9" s="17">
        <v>0</v>
      </c>
      <c r="K9" s="17">
        <v>0</v>
      </c>
      <c r="L9" s="18">
        <f>IF(E9&gt;0,I9/E9,0)</f>
      </c>
    </row>
    <row r="10" ht="14.4" customHeight="1">
      <c r="A10" s="19" t="str">
        <v>0036</v>
      </c>
      <c r="B10" s="20" t="str">
        <v>GESTION INTEGRAL DE RESIDUOS SOLIDOS</v>
      </c>
      <c r="C10" s="21">
        <v>1911962</v>
      </c>
      <c r="D10" s="21">
        <v>-34110</v>
      </c>
      <c r="E10" s="21">
        <v>1877852</v>
      </c>
      <c r="F10" s="22">
        <v>192655</v>
      </c>
      <c r="G10" s="22">
        <v>192651</v>
      </c>
      <c r="H10" s="22">
        <v>347855</v>
      </c>
      <c r="I10" s="22">
        <v>347855</v>
      </c>
      <c r="J10" s="22">
        <v>309487</v>
      </c>
      <c r="K10" s="22">
        <v>309487</v>
      </c>
      <c r="L10" s="23">
        <f>IF(E10&gt;0,I10/E10,0)</f>
      </c>
    </row>
    <row r="11" ht="14.4" customHeight="1">
      <c r="A11" s="14" t="str">
        <v/>
      </c>
      <c r="B11" s="15" t="str">
        <v>0004 EDUCACION Y SENSIBILIZACION A LA POBLACION EN MATERIA DE RESIDUOS SOLIDOS</v>
      </c>
      <c r="C11" s="16">
        <v>10000</v>
      </c>
      <c r="D11" s="16">
        <v>2890</v>
      </c>
      <c r="E11" s="16">
        <v>12890</v>
      </c>
      <c r="F11" s="17">
        <v>1610</v>
      </c>
      <c r="G11" s="17">
        <v>1610</v>
      </c>
      <c r="H11" s="17">
        <v>1610</v>
      </c>
      <c r="I11" s="17">
        <v>1610</v>
      </c>
      <c r="J11" s="17">
        <v>1610</v>
      </c>
      <c r="K11" s="17">
        <v>1610</v>
      </c>
      <c r="L11" s="18">
        <f>IF(E11&gt;0,I11/E11,0)</f>
      </c>
    </row>
    <row r="12" ht="14.4" customHeight="1">
      <c r="A12" s="14" t="str">
        <v/>
      </c>
      <c r="B12" s="15" t="str">
        <v>0005 ALMACENAMIENTO, BARRIDO DE CALLES Y LIMPIEZA DE ESPACIOS PUBLICOS</v>
      </c>
      <c r="C12" s="16">
        <v>1073461</v>
      </c>
      <c r="D12" s="16">
        <v>-37000</v>
      </c>
      <c r="E12" s="16">
        <v>1036461</v>
      </c>
      <c r="F12" s="17">
        <v>122379</v>
      </c>
      <c r="G12" s="17">
        <v>122375</v>
      </c>
      <c r="H12" s="17">
        <v>219805</v>
      </c>
      <c r="I12" s="17">
        <v>219805</v>
      </c>
      <c r="J12" s="17">
        <v>219805</v>
      </c>
      <c r="K12" s="17">
        <v>219805</v>
      </c>
      <c r="L12" s="18">
        <f>IF(E12&gt;0,I12/E12,0)</f>
      </c>
    </row>
    <row r="13" ht="14.4" customHeight="1">
      <c r="A13" s="14" t="str">
        <v/>
      </c>
      <c r="B13" s="15" t="str">
        <v>0006 RECOLECCION Y TRANSPORTE DE RESIDUOS SOLIDOS MUNICIPALES</v>
      </c>
      <c r="C13" s="16">
        <v>684501</v>
      </c>
      <c r="D13" s="16">
        <v>0</v>
      </c>
      <c r="E13" s="16">
        <v>684501</v>
      </c>
      <c r="F13" s="17">
        <v>68666</v>
      </c>
      <c r="G13" s="17">
        <v>68666</v>
      </c>
      <c r="H13" s="17">
        <v>126440</v>
      </c>
      <c r="I13" s="17">
        <v>126440</v>
      </c>
      <c r="J13" s="17">
        <v>88072</v>
      </c>
      <c r="K13" s="17">
        <v>88072</v>
      </c>
      <c r="L13" s="18">
        <f>IF(E13&gt;0,I13/E13,0)</f>
      </c>
    </row>
    <row r="14" ht="14.4" customHeight="1">
      <c r="A14" s="14" t="str">
        <v/>
      </c>
      <c r="B14" s="15" t="str">
        <v>0007 VALORIZACION DE RESIDUOS SOLIDOS MUNICIPALES</v>
      </c>
      <c r="C14" s="16">
        <v>95000</v>
      </c>
      <c r="D14" s="16">
        <v>0</v>
      </c>
      <c r="E14" s="16">
        <v>95000</v>
      </c>
      <c r="F14" s="17">
        <v>0</v>
      </c>
      <c r="G14" s="17">
        <v>0</v>
      </c>
      <c r="H14" s="17">
        <v>0</v>
      </c>
      <c r="I14" s="17">
        <v>0</v>
      </c>
      <c r="J14" s="17">
        <v>0</v>
      </c>
      <c r="K14" s="17">
        <v>0</v>
      </c>
      <c r="L14" s="18">
        <f>IF(E14&gt;0,I14/E14,0)</f>
      </c>
    </row>
    <row r="15" ht="14.4" customHeight="1">
      <c r="A15" s="14" t="str">
        <v/>
      </c>
      <c r="B15" s="15" t="str">
        <v>0008 FISCALIZACION DE LA GESTION DE LOS RESIDUOS SOLIDOS DEL AMBITO MUNICIPAL</v>
      </c>
      <c r="C15" s="16">
        <v>49000</v>
      </c>
      <c r="D15" s="16">
        <v>0</v>
      </c>
      <c r="E15" s="16">
        <v>49000</v>
      </c>
      <c r="F15" s="17">
        <v>0</v>
      </c>
      <c r="G15" s="17">
        <v>0</v>
      </c>
      <c r="H15" s="17">
        <v>0</v>
      </c>
      <c r="I15" s="17">
        <v>0</v>
      </c>
      <c r="J15" s="17">
        <v>0</v>
      </c>
      <c r="K15" s="17">
        <v>0</v>
      </c>
      <c r="L15" s="18">
        <f>IF(E15&gt;0,I15/E15,0)</f>
      </c>
    </row>
    <row r="16" ht="14.4" customHeight="1">
      <c r="A16" s="19" t="str">
        <v>0039</v>
      </c>
      <c r="B16" s="20" t="str">
        <v>MEJORA DE LA SANIDAD ANIMAL</v>
      </c>
      <c r="C16" s="21">
        <v>155043</v>
      </c>
      <c r="D16" s="21">
        <v>-19180</v>
      </c>
      <c r="E16" s="21">
        <v>135863</v>
      </c>
      <c r="F16" s="22">
        <v>10961</v>
      </c>
      <c r="G16" s="22">
        <v>10961</v>
      </c>
      <c r="H16" s="22">
        <v>45130</v>
      </c>
      <c r="I16" s="22">
        <v>45130</v>
      </c>
      <c r="J16" s="22">
        <v>45130</v>
      </c>
      <c r="K16" s="22">
        <v>45130</v>
      </c>
      <c r="L16" s="23">
        <f>IF(E16&gt;0,I16/E16,0)</f>
      </c>
    </row>
    <row r="17" ht="14.4" customHeight="1">
      <c r="A17" s="14" t="str">
        <v/>
      </c>
      <c r="B17" s="15" t="str">
        <v>0009 PREVENCION, CONTROL Y ERRADICACION DE ENFERMEDADES EN LOS ANIMALES</v>
      </c>
      <c r="C17" s="16">
        <v>155043</v>
      </c>
      <c r="D17" s="16">
        <v>-19180</v>
      </c>
      <c r="E17" s="16">
        <v>135863</v>
      </c>
      <c r="F17" s="17">
        <v>10961</v>
      </c>
      <c r="G17" s="17">
        <v>10961</v>
      </c>
      <c r="H17" s="17">
        <v>45130</v>
      </c>
      <c r="I17" s="17">
        <v>45130</v>
      </c>
      <c r="J17" s="17">
        <v>45130</v>
      </c>
      <c r="K17" s="17">
        <v>45130</v>
      </c>
      <c r="L17" s="18">
        <f>IF(E17&gt;0,I17/E17,0)</f>
      </c>
    </row>
    <row r="18" ht="14.4" customHeight="1">
      <c r="A18" s="19" t="str">
        <v>0040</v>
      </c>
      <c r="B18" s="20" t="str">
        <v>MEJORA Y MANTENIMIENTO DE LA SANIDAD VEGETAL</v>
      </c>
      <c r="C18" s="21">
        <v>1230123</v>
      </c>
      <c r="D18" s="21">
        <v>69634</v>
      </c>
      <c r="E18" s="21">
        <v>1299757</v>
      </c>
      <c r="F18" s="22">
        <v>125394</v>
      </c>
      <c r="G18" s="22">
        <v>125394</v>
      </c>
      <c r="H18" s="22">
        <v>133132</v>
      </c>
      <c r="I18" s="22">
        <v>73200</v>
      </c>
      <c r="J18" s="22">
        <v>42200</v>
      </c>
      <c r="K18" s="22">
        <v>42200</v>
      </c>
      <c r="L18" s="23">
        <f>IF(E18&gt;0,I18/E18,0)</f>
      </c>
    </row>
    <row r="19" ht="14.4" customHeight="1">
      <c r="A19" s="14" t="str">
        <v/>
      </c>
      <c r="B19" s="15" t="str">
        <v>0010 MEJORAMIENTO DE LOS SERVICIOS DE APOYO AL DESARROLLO PRODUCTIVO EN LA CADENA PRODUCTIVA DE LA PAPA EN 15 CASERIOS DEL DISTRITO DE HUANCABAMBA, HUANCABAMBA, PIURA</v>
      </c>
      <c r="C19" s="16">
        <v>1230123</v>
      </c>
      <c r="D19" s="16">
        <v>69634</v>
      </c>
      <c r="E19" s="16">
        <v>1299757</v>
      </c>
      <c r="F19" s="17">
        <v>125394</v>
      </c>
      <c r="G19" s="17">
        <v>125394</v>
      </c>
      <c r="H19" s="17">
        <v>133132</v>
      </c>
      <c r="I19" s="17">
        <v>73200</v>
      </c>
      <c r="J19" s="17">
        <v>42200</v>
      </c>
      <c r="K19" s="17">
        <v>42200</v>
      </c>
      <c r="L19" s="18">
        <f>IF(E19&gt;0,I19/E19,0)</f>
      </c>
    </row>
    <row r="20" ht="14.4" customHeight="1">
      <c r="A20" s="19" t="str">
        <v>0042</v>
      </c>
      <c r="B20" s="20" t="str">
        <v>APROVECHAMIENTO DE LOS RECURSOS HIDRICOS PARA USO AGRARIO</v>
      </c>
      <c r="C20" s="21">
        <v>15666367</v>
      </c>
      <c r="D20" s="21">
        <v>0</v>
      </c>
      <c r="E20" s="21">
        <v>15666367</v>
      </c>
      <c r="F20" s="22">
        <v>15666367</v>
      </c>
      <c r="G20" s="22">
        <v>0</v>
      </c>
      <c r="H20" s="22">
        <v>0</v>
      </c>
      <c r="I20" s="22">
        <v>0</v>
      </c>
      <c r="J20" s="22">
        <v>0</v>
      </c>
      <c r="K20" s="22">
        <v>0</v>
      </c>
      <c r="L20" s="23">
        <f>IF(E20&gt;0,I20/E20,0)</f>
      </c>
    </row>
    <row r="21" ht="14.4" customHeight="1">
      <c r="A21" s="14" t="str">
        <v/>
      </c>
      <c r="B21" s="15" t="str">
        <v>0011 CONSTRUCCION DE CANAL DE RIEGO</v>
      </c>
      <c r="C21" s="16">
        <v>15666367</v>
      </c>
      <c r="D21" s="16">
        <v>0</v>
      </c>
      <c r="E21" s="16">
        <v>15666367</v>
      </c>
      <c r="F21" s="17">
        <v>15666367</v>
      </c>
      <c r="G21" s="17">
        <v>0</v>
      </c>
      <c r="H21" s="17">
        <v>0</v>
      </c>
      <c r="I21" s="17">
        <v>0</v>
      </c>
      <c r="J21" s="17">
        <v>0</v>
      </c>
      <c r="K21" s="17">
        <v>0</v>
      </c>
      <c r="L21" s="18">
        <f>IF(E21&gt;0,I21/E21,0)</f>
      </c>
    </row>
    <row r="22" ht="14.4" customHeight="1">
      <c r="A22" s="19" t="str">
        <v>0068</v>
      </c>
      <c r="B22" s="20" t="str">
        <v>REDUCCION DE VULNERABILIDAD Y ATENCION DE EMERGENCIAS POR DESASTRES</v>
      </c>
      <c r="C22" s="21">
        <v>101221</v>
      </c>
      <c r="D22" s="21">
        <v>704725</v>
      </c>
      <c r="E22" s="21">
        <v>805946</v>
      </c>
      <c r="F22" s="22">
        <v>554716.58</v>
      </c>
      <c r="G22" s="22">
        <v>554716.58</v>
      </c>
      <c r="H22" s="22">
        <v>651056.58</v>
      </c>
      <c r="I22" s="22">
        <v>551141.58</v>
      </c>
      <c r="J22" s="22">
        <v>314629.06</v>
      </c>
      <c r="K22" s="22">
        <v>314629.06</v>
      </c>
      <c r="L22" s="23">
        <f>IF(E22&gt;0,I22/E22,0)</f>
      </c>
    </row>
    <row r="23" ht="14.4" customHeight="1">
      <c r="A23" s="14" t="str">
        <v/>
      </c>
      <c r="B23" s="15" t="str">
        <v>0012 MANTENIMIENTO DE CAUCES, DRENAJES Y ESTRUCTURAS DE SEGURIDAD FISICA FRENTE A PELIGROS</v>
      </c>
      <c r="C23" s="16">
        <v>101221</v>
      </c>
      <c r="D23" s="16">
        <v>213100</v>
      </c>
      <c r="E23" s="16">
        <v>314321</v>
      </c>
      <c r="F23" s="17">
        <v>63092.52</v>
      </c>
      <c r="G23" s="17">
        <v>63092.52</v>
      </c>
      <c r="H23" s="17">
        <v>159432.52</v>
      </c>
      <c r="I23" s="17">
        <v>59517.52</v>
      </c>
      <c r="J23" s="17">
        <v>23005</v>
      </c>
      <c r="K23" s="17">
        <v>23005</v>
      </c>
      <c r="L23" s="18">
        <f>IF(E23&gt;0,I23/E23,0)</f>
      </c>
    </row>
    <row r="24" ht="14.4" customHeight="1">
      <c r="A24" s="14" t="str">
        <v/>
      </c>
      <c r="B24" s="15" t="str">
        <v>0088 RENOVACION DE CAMPO DEPORTIVO EN EL ESTADIO MUNICIPAL PEDRO POTENCIANO CHOQUEHUANCA, DISTRITO DE HUANCABAMBA, HUANCABAMBA, PIURA</v>
      </c>
      <c r="C24" s="16">
        <v>0</v>
      </c>
      <c r="D24" s="16">
        <v>491625</v>
      </c>
      <c r="E24" s="16">
        <v>491625</v>
      </c>
      <c r="F24" s="17">
        <v>491624.06</v>
      </c>
      <c r="G24" s="17">
        <v>491624.06</v>
      </c>
      <c r="H24" s="17">
        <v>491624.06</v>
      </c>
      <c r="I24" s="17">
        <v>491624.06</v>
      </c>
      <c r="J24" s="17">
        <v>291624.06</v>
      </c>
      <c r="K24" s="17">
        <v>291624.06</v>
      </c>
      <c r="L24" s="18">
        <f>IF(E24&gt;0,I24/E24,0)</f>
      </c>
    </row>
    <row r="25" ht="14.4" customHeight="1">
      <c r="A25" s="19" t="str">
        <v>0083</v>
      </c>
      <c r="B25" s="20" t="str">
        <v>PROGRAMA NACIONAL DE SANEAMIENTO RURAL</v>
      </c>
      <c r="C25" s="21">
        <v>9129726</v>
      </c>
      <c r="D25" s="21">
        <v>1368364</v>
      </c>
      <c r="E25" s="21">
        <v>10498090</v>
      </c>
      <c r="F25" s="22">
        <v>3091735.8</v>
      </c>
      <c r="G25" s="22">
        <v>2241205</v>
      </c>
      <c r="H25" s="22">
        <v>735728.14</v>
      </c>
      <c r="I25" s="22">
        <v>649528.1399999999</v>
      </c>
      <c r="J25" s="22">
        <v>118646</v>
      </c>
      <c r="K25" s="22">
        <v>118646</v>
      </c>
      <c r="L25" s="23">
        <f>IF(E25&gt;0,I25/E25,0)</f>
      </c>
    </row>
    <row r="26" ht="14.4" customHeight="1">
      <c r="A26" s="14" t="str">
        <v/>
      </c>
      <c r="B26" s="15" t="str">
        <v>0013 ELABORACION DE EXPEDIENTES TECNICOS</v>
      </c>
      <c r="C26" s="16">
        <v>804801</v>
      </c>
      <c r="D26" s="16">
        <v>-804801</v>
      </c>
      <c r="E26" s="16">
        <v>0</v>
      </c>
      <c r="F26" s="17">
        <v>0</v>
      </c>
      <c r="G26" s="17">
        <v>0</v>
      </c>
      <c r="H26" s="17">
        <v>0</v>
      </c>
      <c r="I26" s="17">
        <v>0</v>
      </c>
      <c r="J26" s="17">
        <v>0</v>
      </c>
      <c r="K26" s="17">
        <v>0</v>
      </c>
      <c r="L26" s="18">
        <f>IF(E26&gt;0,I26/E26,0)</f>
      </c>
    </row>
    <row r="27" ht="14.4" customHeight="1">
      <c r="A27" s="14" t="str">
        <v/>
      </c>
      <c r="B27" s="15" t="str">
        <v>0014 CREACION DEL SERVICIO DE AGUA POTABLE RURAL Y CREACION DEL SERVICIO DE ALCANTARILLADO U OTRAS FORMAS DE DISPOSICION SANITARIA DE EXCRETAS EN LA LOCALIDAD DE JICATE BAJO DISTRITO DE HUANCABAMBA</v>
      </c>
      <c r="C27" s="16">
        <v>2120295</v>
      </c>
      <c r="D27" s="16">
        <v>32000</v>
      </c>
      <c r="E27" s="16">
        <v>2152295</v>
      </c>
      <c r="F27" s="17">
        <v>2120295</v>
      </c>
      <c r="G27" s="17">
        <v>2120295</v>
      </c>
      <c r="H27" s="17">
        <v>294489.97</v>
      </c>
      <c r="I27" s="17">
        <v>262489.97</v>
      </c>
      <c r="J27" s="17">
        <v>0</v>
      </c>
      <c r="K27" s="17">
        <v>0</v>
      </c>
      <c r="L27" s="18">
        <f>IF(E27&gt;0,I27/E27,0)</f>
      </c>
    </row>
    <row r="28" ht="14.4" customHeight="1">
      <c r="A28" s="14" t="str">
        <v/>
      </c>
      <c r="B28" s="15" t="str">
        <v>0015 MEJORAMIENTO Y AMPLIACION DEL SERVICIO DE AGUA POTABLE RURAL EN LOCALIDAD DE QUISPE ALTO, LOCALIDAD DE QUISPE BAJO DEL CENTRO POBLADO QUISPE ALTO, DISTRITO DE HUANCABAMBA, HUANCABAMBA, PIURA</v>
      </c>
      <c r="C28" s="16">
        <v>3792730</v>
      </c>
      <c r="D28" s="16">
        <v>0</v>
      </c>
      <c r="E28" s="16">
        <v>3792730</v>
      </c>
      <c r="F28" s="17">
        <v>0</v>
      </c>
      <c r="G28" s="17">
        <v>0</v>
      </c>
      <c r="H28" s="17">
        <v>0</v>
      </c>
      <c r="I28" s="17">
        <v>0</v>
      </c>
      <c r="J28" s="17">
        <v>0</v>
      </c>
      <c r="K28" s="17">
        <v>0</v>
      </c>
      <c r="L28" s="18">
        <f>IF(E28&gt;0,I28/E28,0)</f>
      </c>
    </row>
    <row r="29" ht="14.4" customHeight="1">
      <c r="A29" s="14" t="str">
        <v/>
      </c>
      <c r="B29" s="15" t="str">
        <v>0016 CONSTRUCCION DE CANAL DE RIEGO</v>
      </c>
      <c r="C29" s="16">
        <v>1400279</v>
      </c>
      <c r="D29" s="16">
        <v>1225937</v>
      </c>
      <c r="E29" s="16">
        <v>2626216</v>
      </c>
      <c r="F29" s="17">
        <v>0</v>
      </c>
      <c r="G29" s="17">
        <v>0</v>
      </c>
      <c r="H29" s="17">
        <v>0</v>
      </c>
      <c r="I29" s="17">
        <v>0</v>
      </c>
      <c r="J29" s="17">
        <v>0</v>
      </c>
      <c r="K29" s="17">
        <v>0</v>
      </c>
      <c r="L29" s="18">
        <f>IF(E29&gt;0,I29/E29,0)</f>
      </c>
    </row>
    <row r="30" ht="14.4" customHeight="1">
      <c r="A30" s="14" t="str">
        <v/>
      </c>
      <c r="B30" s="15" t="str">
        <v>0017 POTABILIZACION Y OTRAS FORMAS DE DESINFECCION Y TRATAMIENTO</v>
      </c>
      <c r="C30" s="16">
        <v>67000</v>
      </c>
      <c r="D30" s="16">
        <v>0</v>
      </c>
      <c r="E30" s="16">
        <v>67000</v>
      </c>
      <c r="F30" s="17">
        <v>13000</v>
      </c>
      <c r="G30" s="17">
        <v>9000</v>
      </c>
      <c r="H30" s="17">
        <v>56200</v>
      </c>
      <c r="I30" s="17">
        <v>11000</v>
      </c>
      <c r="J30" s="17">
        <v>11000</v>
      </c>
      <c r="K30" s="17">
        <v>11000</v>
      </c>
      <c r="L30" s="18">
        <f>IF(E30&gt;0,I30/E30,0)</f>
      </c>
    </row>
    <row r="31" ht="14.4" customHeight="1">
      <c r="A31" s="14" t="str">
        <v/>
      </c>
      <c r="B31" s="15" t="str">
        <v>0018 OPERACION Y MANTENIMIENTO DE LOS SISTEMAS DE AGUA POTABLE</v>
      </c>
      <c r="C31" s="16">
        <v>766621</v>
      </c>
      <c r="D31" s="16">
        <v>-72002</v>
      </c>
      <c r="E31" s="16">
        <v>694619</v>
      </c>
      <c r="F31" s="17">
        <v>124910</v>
      </c>
      <c r="G31" s="17">
        <v>106910</v>
      </c>
      <c r="H31" s="17">
        <v>178610</v>
      </c>
      <c r="I31" s="17">
        <v>169610</v>
      </c>
      <c r="J31" s="17">
        <v>102646</v>
      </c>
      <c r="K31" s="17">
        <v>102646</v>
      </c>
      <c r="L31" s="18">
        <f>IF(E31&gt;0,I31/E31,0)</f>
      </c>
    </row>
    <row r="32" ht="14.4" customHeight="1">
      <c r="A32" s="14" t="str">
        <v/>
      </c>
      <c r="B32" s="15" t="str">
        <v>0019 OPERACION Y MANTENIMIENTO DE LOS SISTEMAS DE DISPOSICION SANITARIA DE EXCRETAS</v>
      </c>
      <c r="C32" s="16">
        <v>128000</v>
      </c>
      <c r="D32" s="16">
        <v>-14000</v>
      </c>
      <c r="E32" s="16">
        <v>114000</v>
      </c>
      <c r="F32" s="17">
        <v>5000</v>
      </c>
      <c r="G32" s="17">
        <v>5000</v>
      </c>
      <c r="H32" s="17">
        <v>5000</v>
      </c>
      <c r="I32" s="17">
        <v>5000</v>
      </c>
      <c r="J32" s="17">
        <v>5000</v>
      </c>
      <c r="K32" s="17">
        <v>5000</v>
      </c>
      <c r="L32" s="18">
        <f>IF(E32&gt;0,I32/E32,0)</f>
      </c>
    </row>
    <row r="33" ht="14.4" customHeight="1">
      <c r="A33" s="14" t="str">
        <v/>
      </c>
      <c r="B33" s="15" t="str">
        <v>0020 MONITOREO DE LA PRESTACION DE LOS SERVICIOS DE AGUA POTABLE Y DISPOSICION SANITARIA DE EXCRETAS PARA HOGARES CONCENTRADOS</v>
      </c>
      <c r="C33" s="16">
        <v>50000</v>
      </c>
      <c r="D33" s="16">
        <v>-5000</v>
      </c>
      <c r="E33" s="16">
        <v>45000</v>
      </c>
      <c r="F33" s="17">
        <v>0</v>
      </c>
      <c r="G33" s="17">
        <v>0</v>
      </c>
      <c r="H33" s="17">
        <v>0</v>
      </c>
      <c r="I33" s="17">
        <v>0</v>
      </c>
      <c r="J33" s="17">
        <v>0</v>
      </c>
      <c r="K33" s="17">
        <v>0</v>
      </c>
      <c r="L33" s="18">
        <f>IF(E33&gt;0,I33/E33,0)</f>
      </c>
    </row>
    <row r="34" ht="14.4" customHeight="1">
      <c r="A34" s="14" t="str">
        <v/>
      </c>
      <c r="B34" s="15" t="str">
        <v>0084 MEJORAMIENTO Y AMPLIACION DEL SERVICIO DE AGUA POTABLE RURAL Y CREACION DEL SERVICIO DE DISPOSICION SANITARIA DE EXCRETAS EN LOCALIDAD DE TOCLLAPITE DE CENTRO POBLADO TOCLLAPITE - DISTRITO DE</v>
      </c>
      <c r="C34" s="16">
        <v>0</v>
      </c>
      <c r="D34" s="16">
        <v>804801</v>
      </c>
      <c r="E34" s="16">
        <v>804801</v>
      </c>
      <c r="F34" s="17">
        <v>804801</v>
      </c>
      <c r="G34" s="17">
        <v>0</v>
      </c>
      <c r="H34" s="17">
        <v>0</v>
      </c>
      <c r="I34" s="17">
        <v>0</v>
      </c>
      <c r="J34" s="17">
        <v>0</v>
      </c>
      <c r="K34" s="17">
        <v>0</v>
      </c>
      <c r="L34" s="18">
        <f>IF(E34&gt;0,I34/E34,0)</f>
      </c>
    </row>
    <row r="35" ht="14.4" customHeight="1">
      <c r="A35" s="14" t="str">
        <v/>
      </c>
      <c r="B35" s="15" t="str">
        <v>0096 REHABILITACION DEL SISTEMA DE SANEAMIENTO BASICO DE LA LOCALIDAD DE EL TAMBO DEL DISTRITO DE HUANCABAMBA, HUANCABAMBA,PIURA</v>
      </c>
      <c r="C35" s="16">
        <v>0</v>
      </c>
      <c r="D35" s="16">
        <v>23730</v>
      </c>
      <c r="E35" s="16">
        <v>23730</v>
      </c>
      <c r="F35" s="17">
        <v>23729.8</v>
      </c>
      <c r="G35" s="17">
        <v>0</v>
      </c>
      <c r="H35" s="17">
        <v>23729.8</v>
      </c>
      <c r="I35" s="17">
        <v>23729.8</v>
      </c>
      <c r="J35" s="17">
        <v>0</v>
      </c>
      <c r="K35" s="17">
        <v>0</v>
      </c>
      <c r="L35" s="18">
        <f>IF(E35&gt;0,I35/E35,0)</f>
      </c>
    </row>
    <row r="36" ht="14.4" customHeight="1">
      <c r="A36" s="14" t="str">
        <v/>
      </c>
      <c r="B36" s="15" t="str">
        <v>0107 MEJORAMIENTO Y AMPLIACION DE LOS SERVICIOS DE AGUA POTABLE Y CREACION DEL SANEAMIENTO BASICO EN LA LOCALIDAD DE SAN MIGUEL DE CUMBICUS DEL DISTRITO DE HUANCABAMBA,HUANCABAMBA, PIURA</v>
      </c>
      <c r="C36" s="16">
        <v>0</v>
      </c>
      <c r="D36" s="16">
        <v>177699</v>
      </c>
      <c r="E36" s="16">
        <v>177699</v>
      </c>
      <c r="F36" s="17">
        <v>0</v>
      </c>
      <c r="G36" s="17">
        <v>0</v>
      </c>
      <c r="H36" s="17">
        <v>177698.37</v>
      </c>
      <c r="I36" s="17">
        <v>177698.37</v>
      </c>
      <c r="J36" s="17">
        <v>0</v>
      </c>
      <c r="K36" s="17">
        <v>0</v>
      </c>
      <c r="L36" s="18">
        <f>IF(E36&gt;0,I36/E36,0)</f>
      </c>
    </row>
    <row r="37" ht="14.4" customHeight="1">
      <c r="A37" s="19" t="str">
        <v>0087</v>
      </c>
      <c r="B37" s="20" t="str">
        <v>INCREMENTO DE LA COMPETIVIDAD DEL SECTOR ARTESANIA</v>
      </c>
      <c r="C37" s="21">
        <v>30000</v>
      </c>
      <c r="D37" s="21">
        <v>0</v>
      </c>
      <c r="E37" s="21">
        <v>30000</v>
      </c>
      <c r="F37" s="22">
        <v>0</v>
      </c>
      <c r="G37" s="22">
        <v>0</v>
      </c>
      <c r="H37" s="22">
        <v>0</v>
      </c>
      <c r="I37" s="22">
        <v>0</v>
      </c>
      <c r="J37" s="22">
        <v>0</v>
      </c>
      <c r="K37" s="22">
        <v>0</v>
      </c>
      <c r="L37" s="23">
        <f>IF(E37&gt;0,I37/E37,0)</f>
      </c>
    </row>
    <row r="38" ht="14.4" customHeight="1">
      <c r="A38" s="14" t="str">
        <v/>
      </c>
      <c r="B38" s="15" t="str">
        <v>0021 FORTALECIMIENTO DE CAPACIDADES EN EL SECTOR ARTESANAL</v>
      </c>
      <c r="C38" s="16">
        <v>30000</v>
      </c>
      <c r="D38" s="16">
        <v>0</v>
      </c>
      <c r="E38" s="16">
        <v>30000</v>
      </c>
      <c r="F38" s="17">
        <v>0</v>
      </c>
      <c r="G38" s="17">
        <v>0</v>
      </c>
      <c r="H38" s="17">
        <v>0</v>
      </c>
      <c r="I38" s="17">
        <v>0</v>
      </c>
      <c r="J38" s="17">
        <v>0</v>
      </c>
      <c r="K38" s="17">
        <v>0</v>
      </c>
      <c r="L38" s="18">
        <f>IF(E38&gt;0,I38/E38,0)</f>
      </c>
    </row>
    <row r="39" ht="14.4" customHeight="1">
      <c r="A39" s="19" t="str">
        <v>0090</v>
      </c>
      <c r="B39" s="20" t="str">
        <v>LOGROS DE APRENDIZAJE DE ESTUDIANTES DE LA EDUCACION BASICA REGULAR</v>
      </c>
      <c r="C39" s="21">
        <v>0</v>
      </c>
      <c r="D39" s="21">
        <v>48291</v>
      </c>
      <c r="E39" s="21">
        <v>48291</v>
      </c>
      <c r="F39" s="22">
        <v>0</v>
      </c>
      <c r="G39" s="22">
        <v>0</v>
      </c>
      <c r="H39" s="22">
        <v>4391</v>
      </c>
      <c r="I39" s="22">
        <v>4391</v>
      </c>
      <c r="J39" s="22">
        <v>0</v>
      </c>
      <c r="K39" s="22">
        <v>0</v>
      </c>
      <c r="L39" s="23">
        <f>IF(E39&gt;0,I39/E39,0)</f>
      </c>
    </row>
    <row r="40" ht="14.4" customHeight="1">
      <c r="A40" s="14" t="str">
        <v/>
      </c>
      <c r="B40" s="15" t="str">
        <v>0102 CONSTRUCCION DE CAMPO DEPORTIVO EN LA I.E. SAN FRANCISCO DE ASIS EN EL CENTRO POBLADO HUANCABAMBA, DISTRITO DE HUANCABAMBA, HUANCABAMBA, PIURA</v>
      </c>
      <c r="C40" s="16">
        <v>0</v>
      </c>
      <c r="D40" s="16">
        <v>4391</v>
      </c>
      <c r="E40" s="16">
        <v>4391</v>
      </c>
      <c r="F40" s="17">
        <v>0</v>
      </c>
      <c r="G40" s="17">
        <v>0</v>
      </c>
      <c r="H40" s="17">
        <v>4391</v>
      </c>
      <c r="I40" s="17">
        <v>4391</v>
      </c>
      <c r="J40" s="17">
        <v>0</v>
      </c>
      <c r="K40" s="17">
        <v>0</v>
      </c>
      <c r="L40" s="18">
        <f>IF(E40&gt;0,I40/E40,0)</f>
      </c>
    </row>
    <row r="41" ht="14.4" customHeight="1">
      <c r="A41" s="14" t="str">
        <v/>
      </c>
      <c r="B41" s="15" t="str">
        <v>0113 MEJORAMIENTO Y AMPLIACION DEL SERVICIO DE EDUCACION SECUNDARIA Y DE EDUCACION BASICA ALTERNATIVA EN 3 UNIDADES PRODUCTORAS DE LA INSTITUCION EDUCATIVA MARIA INMACULADA DEL CENTRO POBLADO HUANC</v>
      </c>
      <c r="C41" s="16">
        <v>0</v>
      </c>
      <c r="D41" s="16">
        <v>43900</v>
      </c>
      <c r="E41" s="16">
        <v>43900</v>
      </c>
      <c r="F41" s="17">
        <v>0</v>
      </c>
      <c r="G41" s="17">
        <v>0</v>
      </c>
      <c r="H41" s="17">
        <v>0</v>
      </c>
      <c r="I41" s="17">
        <v>0</v>
      </c>
      <c r="J41" s="17">
        <v>0</v>
      </c>
      <c r="K41" s="17">
        <v>0</v>
      </c>
      <c r="L41" s="18">
        <f>IF(E41&gt;0,I41/E41,0)</f>
      </c>
    </row>
    <row r="42" ht="14.4" customHeight="1">
      <c r="A42" s="19" t="str">
        <v>0101</v>
      </c>
      <c r="B42" s="20" t="str">
        <v>INCREMENTO DE LA PRACTICA DE ACTIVIDADES FISICAS, DEPORTIVAS Y RECREATIVAS</v>
      </c>
      <c r="C42" s="21">
        <v>0</v>
      </c>
      <c r="D42" s="21">
        <v>2428650</v>
      </c>
      <c r="E42" s="21">
        <v>2428650</v>
      </c>
      <c r="F42" s="22">
        <v>1346194.65</v>
      </c>
      <c r="G42" s="22">
        <v>0</v>
      </c>
      <c r="H42" s="22">
        <v>145788.6</v>
      </c>
      <c r="I42" s="22">
        <v>0</v>
      </c>
      <c r="J42" s="22">
        <v>0</v>
      </c>
      <c r="K42" s="22">
        <v>0</v>
      </c>
      <c r="L42" s="23">
        <f>IF(E42&gt;0,I42/E42,0)</f>
      </c>
    </row>
    <row r="43" ht="14.4" customHeight="1">
      <c r="A43" s="14" t="str">
        <v/>
      </c>
      <c r="B43" s="15" t="str">
        <v>0097 CONSTRUCCION DE CAMPOS DEPORTIVOS</v>
      </c>
      <c r="C43" s="16">
        <v>0</v>
      </c>
      <c r="D43" s="16">
        <v>644393</v>
      </c>
      <c r="E43" s="16">
        <v>644393</v>
      </c>
      <c r="F43" s="17">
        <v>613707.47</v>
      </c>
      <c r="G43" s="17">
        <v>0</v>
      </c>
      <c r="H43" s="17">
        <v>0</v>
      </c>
      <c r="I43" s="17">
        <v>0</v>
      </c>
      <c r="J43" s="17">
        <v>0</v>
      </c>
      <c r="K43" s="17">
        <v>0</v>
      </c>
      <c r="L43" s="18">
        <f>IF(E43&gt;0,I43/E43,0)</f>
      </c>
    </row>
    <row r="44" ht="14.4" customHeight="1">
      <c r="A44" s="14" t="str">
        <v/>
      </c>
      <c r="B44" s="15" t="str">
        <v>0098 CONSTRUCCION DE CAMPOS DEPORTIVOS</v>
      </c>
      <c r="C44" s="16">
        <v>0</v>
      </c>
      <c r="D44" s="16">
        <v>880624</v>
      </c>
      <c r="E44" s="16">
        <v>880624</v>
      </c>
      <c r="F44" s="17">
        <v>0</v>
      </c>
      <c r="G44" s="17">
        <v>0</v>
      </c>
      <c r="H44" s="17">
        <v>43085</v>
      </c>
      <c r="I44" s="17">
        <v>0</v>
      </c>
      <c r="J44" s="17">
        <v>0</v>
      </c>
      <c r="K44" s="17">
        <v>0</v>
      </c>
      <c r="L44" s="18">
        <f>IF(E44&gt;0,I44/E44,0)</f>
      </c>
    </row>
    <row r="45" ht="14.4" customHeight="1">
      <c r="A45" s="14" t="str">
        <v/>
      </c>
      <c r="B45" s="15" t="str">
        <v>0101 CONSTRUCCION DE CAMPOS DEPORTIVOS</v>
      </c>
      <c r="C45" s="16">
        <v>0</v>
      </c>
      <c r="D45" s="16">
        <v>767088</v>
      </c>
      <c r="E45" s="16">
        <v>767088</v>
      </c>
      <c r="F45" s="17">
        <v>732487.18</v>
      </c>
      <c r="G45" s="17">
        <v>0</v>
      </c>
      <c r="H45" s="17">
        <v>0</v>
      </c>
      <c r="I45" s="17">
        <v>0</v>
      </c>
      <c r="J45" s="17">
        <v>0</v>
      </c>
      <c r="K45" s="17">
        <v>0</v>
      </c>
      <c r="L45" s="18">
        <f>IF(E45&gt;0,I45/E45,0)</f>
      </c>
    </row>
    <row r="46" ht="14.4" customHeight="1">
      <c r="A46" s="14" t="str">
        <v/>
      </c>
      <c r="B46" s="15" t="str">
        <v>0104 CONSTRUCCION DE INFRAESTRUCTURA DEPORTIVA EN EL CAMPO DEPORTIVO EMETERIO SANTOS CALVAY DE LA LOCALIDAD SAN MARTIN, DISTRITO DE HUARMACA, HUANCABAMBA, PIURA</v>
      </c>
      <c r="C46" s="16">
        <v>0</v>
      </c>
      <c r="D46" s="16">
        <v>136545</v>
      </c>
      <c r="E46" s="16">
        <v>136545</v>
      </c>
      <c r="F46" s="17">
        <v>0</v>
      </c>
      <c r="G46" s="17">
        <v>0</v>
      </c>
      <c r="H46" s="17">
        <v>102703.6</v>
      </c>
      <c r="I46" s="17">
        <v>0</v>
      </c>
      <c r="J46" s="17">
        <v>0</v>
      </c>
      <c r="K46" s="17">
        <v>0</v>
      </c>
      <c r="L46" s="18">
        <f>IF(E46&gt;0,I46/E46,0)</f>
      </c>
    </row>
    <row r="47" ht="14.4" customHeight="1">
      <c r="A47" s="19" t="str">
        <v>0117</v>
      </c>
      <c r="B47" s="20" t="str">
        <v>ATENCION OPORTUNA DE NIÑAS, NIÑOS Y ADOLESCENTES EN PRESUNTO ESTADO DE ABAN</v>
      </c>
      <c r="C47" s="21">
        <v>7770</v>
      </c>
      <c r="D47" s="21">
        <v>0</v>
      </c>
      <c r="E47" s="21">
        <v>7770</v>
      </c>
      <c r="F47" s="22">
        <v>0</v>
      </c>
      <c r="G47" s="22">
        <v>0</v>
      </c>
      <c r="H47" s="22">
        <v>0</v>
      </c>
      <c r="I47" s="22">
        <v>0</v>
      </c>
      <c r="J47" s="22">
        <v>0</v>
      </c>
      <c r="K47" s="22">
        <v>0</v>
      </c>
      <c r="L47" s="23">
        <f>IF(E47&gt;0,I47/E47,0)</f>
      </c>
    </row>
    <row r="48" ht="14.4" customHeight="1">
      <c r="A48" s="14" t="str">
        <v/>
      </c>
      <c r="B48" s="15" t="str">
        <v>0022 ATENCION A NIÑAS, NIÑOS Y ADOLESCENTES EN RIESGO A TRAVES DE MEDIDAS DE PROTECCION Y SERVICIOS PARA FORTALECER VINCULOS FAMILIARES</v>
      </c>
      <c r="C48" s="16">
        <v>7770</v>
      </c>
      <c r="D48" s="16">
        <v>0</v>
      </c>
      <c r="E48" s="16">
        <v>7770</v>
      </c>
      <c r="F48" s="17">
        <v>0</v>
      </c>
      <c r="G48" s="17">
        <v>0</v>
      </c>
      <c r="H48" s="17">
        <v>0</v>
      </c>
      <c r="I48" s="17">
        <v>0</v>
      </c>
      <c r="J48" s="17">
        <v>0</v>
      </c>
      <c r="K48" s="17">
        <v>0</v>
      </c>
      <c r="L48" s="18">
        <f>IF(E48&gt;0,I48/E48,0)</f>
      </c>
    </row>
    <row r="49" ht="14.4" customHeight="1">
      <c r="A49" s="19" t="str">
        <v>0121</v>
      </c>
      <c r="B49" s="20" t="str">
        <v>MEJORA DE LA ARTICULACION DE PEQUEÑOS PRODUCTORES AL MERCADO</v>
      </c>
      <c r="C49" s="21">
        <v>1606693</v>
      </c>
      <c r="D49" s="21">
        <v>-1556693</v>
      </c>
      <c r="E49" s="21">
        <v>50000</v>
      </c>
      <c r="F49" s="22">
        <v>0</v>
      </c>
      <c r="G49" s="22">
        <v>0</v>
      </c>
      <c r="H49" s="22">
        <v>0</v>
      </c>
      <c r="I49" s="22">
        <v>0</v>
      </c>
      <c r="J49" s="22">
        <v>0</v>
      </c>
      <c r="K49" s="22">
        <v>0</v>
      </c>
      <c r="L49" s="23">
        <f>IF(E49&gt;0,I49/E49,0)</f>
      </c>
    </row>
    <row r="50" ht="14.4" customHeight="1">
      <c r="A50" s="14" t="str">
        <v/>
      </c>
      <c r="B50" s="15" t="str">
        <v>0023 CREACION DE UNA PLANTA PROCESADORA DE CAÑA DE AZUCAR PARA LA ELABORACION DE PANELA GRANULADA ORGANICA EN LA LOCALIDAD ROSARIO BAJO DEL DISTRITO DE EL CARMEN DE LA FRONTERA, HUANCABAMBA, PIURA</v>
      </c>
      <c r="C50" s="16">
        <v>577391</v>
      </c>
      <c r="D50" s="16">
        <v>-577391</v>
      </c>
      <c r="E50" s="16">
        <v>0</v>
      </c>
      <c r="F50" s="17">
        <v>0</v>
      </c>
      <c r="G50" s="17">
        <v>0</v>
      </c>
      <c r="H50" s="17">
        <v>0</v>
      </c>
      <c r="I50" s="17">
        <v>0</v>
      </c>
      <c r="J50" s="17">
        <v>0</v>
      </c>
      <c r="K50" s="17">
        <v>0</v>
      </c>
      <c r="L50" s="18">
        <f>IF(E50&gt;0,I50/E50,0)</f>
      </c>
    </row>
    <row r="51" ht="14.4" customHeight="1">
      <c r="A51" s="14" t="str">
        <v/>
      </c>
      <c r="B51" s="15" t="str">
        <v>0024 CREACION DE UNA PLANTA PROCESADORA DE CAÑA DE AZUCAR PARA LA ELABORACION DE PANELA GRANULADA EN LA LOCALIDAD DE EL CARMEN DEL DISTRITO DE EL CARMEN DE LA FRONTERA, HUANCABAMBA, PIURA</v>
      </c>
      <c r="C51" s="16">
        <v>979302</v>
      </c>
      <c r="D51" s="16">
        <v>-979302</v>
      </c>
      <c r="E51" s="16">
        <v>0</v>
      </c>
      <c r="F51" s="17">
        <v>0</v>
      </c>
      <c r="G51" s="17">
        <v>0</v>
      </c>
      <c r="H51" s="17">
        <v>0</v>
      </c>
      <c r="I51" s="17">
        <v>0</v>
      </c>
      <c r="J51" s="17">
        <v>0</v>
      </c>
      <c r="K51" s="17">
        <v>0</v>
      </c>
      <c r="L51" s="18">
        <f>IF(E51&gt;0,I51/E51,0)</f>
      </c>
    </row>
    <row r="52" ht="14.4" customHeight="1">
      <c r="A52" s="14" t="str">
        <v/>
      </c>
      <c r="B52" s="15" t="str">
        <v>0025 ASISTENCIA TECNICA Y CAPACITACION A PRODUCTORES PARA LA ADOPCION DE PAQUETES TECNOLOGICOS</v>
      </c>
      <c r="C52" s="16">
        <v>50000</v>
      </c>
      <c r="D52" s="16">
        <v>0</v>
      </c>
      <c r="E52" s="16">
        <v>50000</v>
      </c>
      <c r="F52" s="17">
        <v>0</v>
      </c>
      <c r="G52" s="17">
        <v>0</v>
      </c>
      <c r="H52" s="17">
        <v>0</v>
      </c>
      <c r="I52" s="17">
        <v>0</v>
      </c>
      <c r="J52" s="17">
        <v>0</v>
      </c>
      <c r="K52" s="17">
        <v>0</v>
      </c>
      <c r="L52" s="18">
        <f>IF(E52&gt;0,I52/E52,0)</f>
      </c>
    </row>
    <row r="53" ht="14.4" customHeight="1">
      <c r="A53" s="19" t="str">
        <v>0127</v>
      </c>
      <c r="B53" s="20" t="str">
        <v>MEJORA DE LA COMPETITIVIDAD DE LOS DESTINOS TURISTICOS</v>
      </c>
      <c r="C53" s="21">
        <v>119850</v>
      </c>
      <c r="D53" s="21">
        <v>0</v>
      </c>
      <c r="E53" s="21">
        <v>119850</v>
      </c>
      <c r="F53" s="22">
        <v>26238.61</v>
      </c>
      <c r="G53" s="22">
        <v>24238.61</v>
      </c>
      <c r="H53" s="22">
        <v>62475</v>
      </c>
      <c r="I53" s="22">
        <v>34813.61</v>
      </c>
      <c r="J53" s="22">
        <v>32111.61</v>
      </c>
      <c r="K53" s="22">
        <v>32111.61</v>
      </c>
      <c r="L53" s="23">
        <f>IF(E53&gt;0,I53/E53,0)</f>
      </c>
    </row>
    <row r="54" ht="14.4" customHeight="1">
      <c r="A54" s="14" t="str">
        <v/>
      </c>
      <c r="B54" s="15" t="str">
        <v>0026 CONSERVACION Y PUESTA EN VALOR DE LOS RECURSOS TURISTICOS</v>
      </c>
      <c r="C54" s="16">
        <v>119850</v>
      </c>
      <c r="D54" s="16">
        <v>0</v>
      </c>
      <c r="E54" s="16">
        <v>119850</v>
      </c>
      <c r="F54" s="17">
        <v>26238.61</v>
      </c>
      <c r="G54" s="17">
        <v>24238.61</v>
      </c>
      <c r="H54" s="17">
        <v>62475</v>
      </c>
      <c r="I54" s="17">
        <v>34813.61</v>
      </c>
      <c r="J54" s="17">
        <v>32111.61</v>
      </c>
      <c r="K54" s="17">
        <v>32111.61</v>
      </c>
      <c r="L54" s="18">
        <f>IF(E54&gt;0,I54/E54,0)</f>
      </c>
    </row>
    <row r="55" ht="14.4" customHeight="1">
      <c r="A55" s="19" t="str">
        <v>0130</v>
      </c>
      <c r="B55" s="20" t="str">
        <v>COMPETITIVIDAD Y APROVECHAMIENTO SOSTENIBLE DE LOS RECURSOS FORESTALES Y DE</v>
      </c>
      <c r="C55" s="21">
        <v>612534</v>
      </c>
      <c r="D55" s="21">
        <v>0</v>
      </c>
      <c r="E55" s="21">
        <v>612534</v>
      </c>
      <c r="F55" s="22">
        <v>23144</v>
      </c>
      <c r="G55" s="22">
        <v>23144</v>
      </c>
      <c r="H55" s="22">
        <v>50144</v>
      </c>
      <c r="I55" s="22">
        <v>46344</v>
      </c>
      <c r="J55" s="22">
        <v>46344</v>
      </c>
      <c r="K55" s="22">
        <v>46344</v>
      </c>
      <c r="L55" s="23">
        <f>IF(E55&gt;0,I55/E55,0)</f>
      </c>
    </row>
    <row r="56" ht="14.4" customHeight="1">
      <c r="A56" s="14" t="str">
        <v/>
      </c>
      <c r="B56" s="15" t="str">
        <v>0027 RECUPERACION DE AREAS FORESTALES DEGRADADAS O ALTERADAS</v>
      </c>
      <c r="C56" s="16">
        <v>235000</v>
      </c>
      <c r="D56" s="16">
        <v>0</v>
      </c>
      <c r="E56" s="16">
        <v>235000</v>
      </c>
      <c r="F56" s="17">
        <v>8754</v>
      </c>
      <c r="G56" s="17">
        <v>8754</v>
      </c>
      <c r="H56" s="17">
        <v>28554</v>
      </c>
      <c r="I56" s="17">
        <v>24754</v>
      </c>
      <c r="J56" s="17">
        <v>24754</v>
      </c>
      <c r="K56" s="17">
        <v>24754</v>
      </c>
      <c r="L56" s="18">
        <f>IF(E56&gt;0,I56/E56,0)</f>
      </c>
    </row>
    <row r="57" ht="14.4" customHeight="1">
      <c r="A57" s="14" t="str">
        <v/>
      </c>
      <c r="B57" s="15" t="str">
        <v>0028 SENSIBILIZACION A LA POBLACION SOBRE EL USO ADECUADO DE TIERRAS FORESTALES, BOSQUES NATURALES, ECOSISTEMAS FORESTALES, BUEN MANEJO DE LA FAUNA SILVESTRE</v>
      </c>
      <c r="C57" s="16">
        <v>377534</v>
      </c>
      <c r="D57" s="16">
        <v>0</v>
      </c>
      <c r="E57" s="16">
        <v>377534</v>
      </c>
      <c r="F57" s="17">
        <v>14390</v>
      </c>
      <c r="G57" s="17">
        <v>14390</v>
      </c>
      <c r="H57" s="17">
        <v>21590</v>
      </c>
      <c r="I57" s="17">
        <v>21590</v>
      </c>
      <c r="J57" s="17">
        <v>21590</v>
      </c>
      <c r="K57" s="17">
        <v>21590</v>
      </c>
      <c r="L57" s="18">
        <f>IF(E57&gt;0,I57/E57,0)</f>
      </c>
    </row>
    <row r="58" ht="14.4" customHeight="1">
      <c r="A58" s="19" t="str">
        <v>0138</v>
      </c>
      <c r="B58" s="20" t="str">
        <v>REDUCCION DEL COSTO, TIEMPO E INSEGURIDAD EN EL SISTEMA DE TRANSPORTE</v>
      </c>
      <c r="C58" s="21">
        <v>2359068</v>
      </c>
      <c r="D58" s="21">
        <v>1175417</v>
      </c>
      <c r="E58" s="21">
        <v>3534485</v>
      </c>
      <c r="F58" s="22">
        <v>1070943</v>
      </c>
      <c r="G58" s="22">
        <v>739794</v>
      </c>
      <c r="H58" s="22">
        <v>594227</v>
      </c>
      <c r="I58" s="22">
        <v>420441.19</v>
      </c>
      <c r="J58" s="22">
        <v>402192.92</v>
      </c>
      <c r="K58" s="22">
        <v>402192.92</v>
      </c>
      <c r="L58" s="23">
        <f>IF(E58&gt;0,I58/E58,0)</f>
      </c>
    </row>
    <row r="59" ht="14.4" customHeight="1">
      <c r="A59" s="14" t="str">
        <v/>
      </c>
      <c r="B59" s="15" t="str">
        <v>0029 RENOVACION DE PUENTE; EN EL CAMINO VECINAL PI 848 (PUENTE JIBAJA CHE- CERRO COLORADO), EN EL BARRIO JIBAJA CHE EN LA LOCALIDAD HUANCABAMBA, DISTRITO DE HUANCABAMBA, HUANCABAMBA, PIURA</v>
      </c>
      <c r="C59" s="16">
        <v>95745</v>
      </c>
      <c r="D59" s="16">
        <v>0</v>
      </c>
      <c r="E59" s="16">
        <v>95745</v>
      </c>
      <c r="F59" s="17">
        <v>0</v>
      </c>
      <c r="G59" s="17">
        <v>0</v>
      </c>
      <c r="H59" s="17">
        <v>0</v>
      </c>
      <c r="I59" s="17">
        <v>0</v>
      </c>
      <c r="J59" s="17">
        <v>0</v>
      </c>
      <c r="K59" s="17">
        <v>0</v>
      </c>
      <c r="L59" s="18">
        <f>IF(E59&gt;0,I59/E59,0)</f>
      </c>
    </row>
    <row r="60" ht="14.4" customHeight="1">
      <c r="A60" s="14" t="str">
        <v/>
      </c>
      <c r="B60" s="15" t="str">
        <v>0030 RENOVACION DE PUENTE; EN EL CAMINO VECINAL PI 840(PUENTE LAUMACHE) EN LA LOCALIDAD LAUMACHE, DISTRITO DE HUANCABAMBA, HUANCABAMBA, PIURA</v>
      </c>
      <c r="C60" s="16">
        <v>3039</v>
      </c>
      <c r="D60" s="16">
        <v>0</v>
      </c>
      <c r="E60" s="16">
        <v>3039</v>
      </c>
      <c r="F60" s="17">
        <v>0</v>
      </c>
      <c r="G60" s="17">
        <v>0</v>
      </c>
      <c r="H60" s="17">
        <v>0</v>
      </c>
      <c r="I60" s="17">
        <v>0</v>
      </c>
      <c r="J60" s="17">
        <v>0</v>
      </c>
      <c r="K60" s="17">
        <v>0</v>
      </c>
      <c r="L60" s="18">
        <f>IF(E60&gt;0,I60/E60,0)</f>
      </c>
    </row>
    <row r="61" ht="14.4" customHeight="1">
      <c r="A61" s="14" t="str">
        <v/>
      </c>
      <c r="B61" s="15" t="str">
        <v>0031 RENOVACION DE PUENTE; EN EL CAMINO VECINAL PI839(PUENTE CAJAS ALUMBRE- CAJAS CANCHAQUE) EN LA LOCALIDAD CAJAS ALUMBRE, DISTRITO DE EL CARMEN DE LA FRONTERA, HUANCABAMBA, PIURA</v>
      </c>
      <c r="C61" s="16">
        <v>53731</v>
      </c>
      <c r="D61" s="16">
        <v>0</v>
      </c>
      <c r="E61" s="16">
        <v>53731</v>
      </c>
      <c r="F61" s="17">
        <v>0</v>
      </c>
      <c r="G61" s="17">
        <v>0</v>
      </c>
      <c r="H61" s="17">
        <v>0</v>
      </c>
      <c r="I61" s="17">
        <v>0</v>
      </c>
      <c r="J61" s="17">
        <v>0</v>
      </c>
      <c r="K61" s="17">
        <v>0</v>
      </c>
      <c r="L61" s="18">
        <f>IF(E61&gt;0,I61/E61,0)</f>
      </c>
    </row>
    <row r="62" ht="14.4" customHeight="1">
      <c r="A62" s="14" t="str">
        <v/>
      </c>
      <c r="B62" s="15" t="str">
        <v>0032 RENOVACION DE PUENTE; EN EL CAMINO VECINAL PI 846 (PUENTE COMENDEROS BAJO-ALIGUAY) EN LA LOCALIDAD COMENDEROS BAJO, DISTRITO DE HUANCABAMBA, HUANCABAMBA, PIURA</v>
      </c>
      <c r="C62" s="16">
        <v>58120</v>
      </c>
      <c r="D62" s="16">
        <v>0</v>
      </c>
      <c r="E62" s="16">
        <v>58120</v>
      </c>
      <c r="F62" s="17">
        <v>0</v>
      </c>
      <c r="G62" s="17">
        <v>0</v>
      </c>
      <c r="H62" s="17">
        <v>0</v>
      </c>
      <c r="I62" s="17">
        <v>0</v>
      </c>
      <c r="J62" s="17">
        <v>0</v>
      </c>
      <c r="K62" s="17">
        <v>0</v>
      </c>
      <c r="L62" s="18">
        <f>IF(E62&gt;0,I62/E62,0)</f>
      </c>
    </row>
    <row r="63" ht="14.4" customHeight="1">
      <c r="A63" s="14" t="str">
        <v/>
      </c>
      <c r="B63" s="15" t="str">
        <v>0033 RENOVACION DE PUENTE; EN EL CAMINO VECINAL PI 834 EN EL TRAMO HUANCACARPA ALTO MONTE GRANDE (PUENTE MONTE GRANDRE), EN LA LOCALIDAD HUANCACARPA ALTO, DISTRITO DE HUANCABAMBA,HUANCABAMBA,PIURA</v>
      </c>
      <c r="C63" s="16">
        <v>13540</v>
      </c>
      <c r="D63" s="16">
        <v>0</v>
      </c>
      <c r="E63" s="16">
        <v>13540</v>
      </c>
      <c r="F63" s="17">
        <v>0</v>
      </c>
      <c r="G63" s="17">
        <v>0</v>
      </c>
      <c r="H63" s="17">
        <v>0</v>
      </c>
      <c r="I63" s="17">
        <v>0</v>
      </c>
      <c r="J63" s="17">
        <v>0</v>
      </c>
      <c r="K63" s="17">
        <v>0</v>
      </c>
      <c r="L63" s="18">
        <f>IF(E63&gt;0,I63/E63,0)</f>
      </c>
    </row>
    <row r="64" ht="14.4" customHeight="1">
      <c r="A64" s="14" t="str">
        <v/>
      </c>
      <c r="B64" s="15" t="str">
        <v>0034 RENOVACION DE PUENTE; EN EL CAMINO VECINAL PI 837 TRAMO LUCHO- MISHKA (PUENTE QUEBRADA HUANGAPE) EN LA LOCALIDAD LUCHO, DISTRITO DE HUANCABAMBA, HUANCABAMBA, PIURA</v>
      </c>
      <c r="C64" s="16">
        <v>27515</v>
      </c>
      <c r="D64" s="16">
        <v>0</v>
      </c>
      <c r="E64" s="16">
        <v>27515</v>
      </c>
      <c r="F64" s="17">
        <v>0</v>
      </c>
      <c r="G64" s="17">
        <v>0</v>
      </c>
      <c r="H64" s="17">
        <v>0</v>
      </c>
      <c r="I64" s="17">
        <v>0</v>
      </c>
      <c r="J64" s="17">
        <v>0</v>
      </c>
      <c r="K64" s="17">
        <v>0</v>
      </c>
      <c r="L64" s="18">
        <f>IF(E64&gt;0,I64/E64,0)</f>
      </c>
    </row>
    <row r="65" ht="14.4" customHeight="1">
      <c r="A65" s="14" t="str">
        <v/>
      </c>
      <c r="B65" s="15" t="str">
        <v>0035 CONSTRUCCION DE PUENTES</v>
      </c>
      <c r="C65" s="16">
        <v>363929</v>
      </c>
      <c r="D65" s="16">
        <v>0</v>
      </c>
      <c r="E65" s="16">
        <v>363929</v>
      </c>
      <c r="F65" s="17">
        <v>363929</v>
      </c>
      <c r="G65" s="17">
        <v>0</v>
      </c>
      <c r="H65" s="17">
        <v>0</v>
      </c>
      <c r="I65" s="17">
        <v>0</v>
      </c>
      <c r="J65" s="17">
        <v>0</v>
      </c>
      <c r="K65" s="17">
        <v>0</v>
      </c>
      <c r="L65" s="18">
        <f>IF(E65&gt;0,I65/E65,0)</f>
      </c>
    </row>
    <row r="66" ht="14.4" customHeight="1">
      <c r="A66" s="14" t="str">
        <v/>
      </c>
      <c r="B66" s="15" t="str">
        <v>0036 REHABILITACION DE PUENTE</v>
      </c>
      <c r="C66" s="16">
        <v>330287</v>
      </c>
      <c r="D66" s="16">
        <v>230237</v>
      </c>
      <c r="E66" s="16">
        <v>560524</v>
      </c>
      <c r="F66" s="17">
        <v>0</v>
      </c>
      <c r="G66" s="17">
        <v>0</v>
      </c>
      <c r="H66" s="17">
        <v>0</v>
      </c>
      <c r="I66" s="17">
        <v>0</v>
      </c>
      <c r="J66" s="17">
        <v>0</v>
      </c>
      <c r="K66" s="17">
        <v>0</v>
      </c>
      <c r="L66" s="18">
        <f>IF(E66&gt;0,I66/E66,0)</f>
      </c>
    </row>
    <row r="67" ht="14.4" customHeight="1">
      <c r="A67" s="14" t="str">
        <v/>
      </c>
      <c r="B67" s="15" t="str">
        <v>0037 REHABILITACION DE PUENTE</v>
      </c>
      <c r="C67" s="16">
        <v>248253</v>
      </c>
      <c r="D67" s="16">
        <v>206876</v>
      </c>
      <c r="E67" s="16">
        <v>455129</v>
      </c>
      <c r="F67" s="17">
        <v>0</v>
      </c>
      <c r="G67" s="17">
        <v>0</v>
      </c>
      <c r="H67" s="17">
        <v>110000</v>
      </c>
      <c r="I67" s="17">
        <v>55000</v>
      </c>
      <c r="J67" s="17">
        <v>55000</v>
      </c>
      <c r="K67" s="17">
        <v>55000</v>
      </c>
      <c r="L67" s="18">
        <f>IF(E67&gt;0,I67/E67,0)</f>
      </c>
    </row>
    <row r="68" ht="14.4" customHeight="1">
      <c r="A68" s="14" t="str">
        <v/>
      </c>
      <c r="B68" s="15" t="str">
        <v>0038 REHABILITACION DE PUENTE</v>
      </c>
      <c r="C68" s="16">
        <v>240115</v>
      </c>
      <c r="D68" s="16">
        <v>200094</v>
      </c>
      <c r="E68" s="16">
        <v>440209</v>
      </c>
      <c r="F68" s="17">
        <v>0</v>
      </c>
      <c r="G68" s="17">
        <v>0</v>
      </c>
      <c r="H68" s="17">
        <v>0</v>
      </c>
      <c r="I68" s="17">
        <v>0</v>
      </c>
      <c r="J68" s="17">
        <v>0</v>
      </c>
      <c r="K68" s="17">
        <v>0</v>
      </c>
      <c r="L68" s="18">
        <f>IF(E68&gt;0,I68/E68,0)</f>
      </c>
    </row>
    <row r="69" ht="14.4" customHeight="1">
      <c r="A69" s="14" t="str">
        <v/>
      </c>
      <c r="B69" s="15" t="str">
        <v>0039 MANTENIMIENTO RUTINARIO DE CAMINOS VECINALES NO PAVIMENTADOS</v>
      </c>
      <c r="C69" s="16">
        <v>924794</v>
      </c>
      <c r="D69" s="16">
        <v>-685811</v>
      </c>
      <c r="E69" s="16">
        <v>238983</v>
      </c>
      <c r="F69" s="17">
        <v>-32780</v>
      </c>
      <c r="G69" s="17">
        <v>0</v>
      </c>
      <c r="H69" s="17">
        <v>0</v>
      </c>
      <c r="I69" s="17">
        <v>0</v>
      </c>
      <c r="J69" s="17">
        <v>0</v>
      </c>
      <c r="K69" s="17">
        <v>0</v>
      </c>
      <c r="L69" s="18">
        <f>IF(E69&gt;0,I69/E69,0)</f>
      </c>
    </row>
    <row r="70" ht="14.4" customHeight="1">
      <c r="A70" s="14" t="str">
        <v/>
      </c>
      <c r="B70" s="15" t="str">
        <v>0089 SERVICIO DE MANTENIMIENTO VIAL RUTINARIO DEL CAMINO VECINAL NO PAVIMENTADO DEL PI-843 TRAMO: EMP.PE-3N (TRES ACEQUIAS) - COMENDEROS ALTO (KM 1+785) (L1.785 KM), DISTRITO DE HUANCABAMBA - HUANC</v>
      </c>
      <c r="C70" s="16">
        <v>0</v>
      </c>
      <c r="D70" s="16">
        <v>12097</v>
      </c>
      <c r="E70" s="16">
        <v>12097</v>
      </c>
      <c r="F70" s="17">
        <v>12097</v>
      </c>
      <c r="G70" s="17">
        <v>12097</v>
      </c>
      <c r="H70" s="17">
        <v>0</v>
      </c>
      <c r="I70" s="17">
        <v>0</v>
      </c>
      <c r="J70" s="17">
        <v>0</v>
      </c>
      <c r="K70" s="17">
        <v>0</v>
      </c>
      <c r="L70" s="18">
        <f>IF(E70&gt;0,I70/E70,0)</f>
      </c>
    </row>
    <row r="71" ht="14.4" customHeight="1">
      <c r="A71" s="14" t="str">
        <v/>
      </c>
      <c r="B71" s="15" t="str">
        <v>0090 SERVICIO DE MANTENIMIENTO VIAL RUTINARIO DEL CAMINO VECINAL NO PAVIMENTADO DEL PI-911 TRAMO: EMP. PE-02 A - CAJAS CAPSOL-CHAMANAN (KM 4+596) (L4.596 KM), DISTRITO DE HUANCABAMBA - HUANCABAMBA</v>
      </c>
      <c r="C71" s="16">
        <v>0</v>
      </c>
      <c r="D71" s="16">
        <v>30738</v>
      </c>
      <c r="E71" s="16">
        <v>30738</v>
      </c>
      <c r="F71" s="17">
        <v>30738</v>
      </c>
      <c r="G71" s="17">
        <v>30738</v>
      </c>
      <c r="H71" s="17">
        <v>0</v>
      </c>
      <c r="I71" s="17">
        <v>0</v>
      </c>
      <c r="J71" s="17">
        <v>0</v>
      </c>
      <c r="K71" s="17">
        <v>0</v>
      </c>
      <c r="L71" s="18">
        <f>IF(E71&gt;0,I71/E71,0)</f>
      </c>
    </row>
    <row r="72" ht="14.4" customHeight="1">
      <c r="A72" s="14" t="str">
        <v/>
      </c>
      <c r="B72" s="15" t="str">
        <v>0091 SERVICIO DE MANTENIMIENTO VIAL RUTINARIO DEL CAMINO VECINAL NO PAVIMENTADO DEL PI-853 TRAMO:EMP.PI-853-(PARIAMARCA ALTO);PI-815 TRAMO:LOS RANCHOS(KM32+063)-JICATE BAJO(KM73+086)(L46.693 KM),DI</v>
      </c>
      <c r="C72" s="16">
        <v>0</v>
      </c>
      <c r="D72" s="16">
        <v>316191</v>
      </c>
      <c r="E72" s="16">
        <v>316191</v>
      </c>
      <c r="F72" s="17">
        <v>316191</v>
      </c>
      <c r="G72" s="17">
        <v>316191</v>
      </c>
      <c r="H72" s="17">
        <v>0</v>
      </c>
      <c r="I72" s="17">
        <v>0</v>
      </c>
      <c r="J72" s="17">
        <v>0</v>
      </c>
      <c r="K72" s="17">
        <v>0</v>
      </c>
      <c r="L72" s="18">
        <f>IF(E72&gt;0,I72/E72,0)</f>
      </c>
    </row>
    <row r="73" ht="14.4" customHeight="1">
      <c r="A73" s="14" t="str">
        <v/>
      </c>
      <c r="B73" s="15" t="str">
        <v>0092 SERVICIO DE MANTENIMIENTO VIAL RUTINARIO DEL CAMINO VECINAL NO PAVIMENTADO DEL PI-844 TRAMO: EMP.PE 3N (DV. SAN MIGUEL DE CUMBICUS) - SAN MIGUEL DE CUMBICUS (KM 03+203) (L3.203 KM), DISTRITO D</v>
      </c>
      <c r="C73" s="16">
        <v>0</v>
      </c>
      <c r="D73" s="16">
        <v>21703</v>
      </c>
      <c r="E73" s="16">
        <v>21703</v>
      </c>
      <c r="F73" s="17">
        <v>21703</v>
      </c>
      <c r="G73" s="17">
        <v>21703</v>
      </c>
      <c r="H73" s="17">
        <v>0</v>
      </c>
      <c r="I73" s="17">
        <v>0</v>
      </c>
      <c r="J73" s="17">
        <v>0</v>
      </c>
      <c r="K73" s="17">
        <v>0</v>
      </c>
      <c r="L73" s="18">
        <f>IF(E73&gt;0,I73/E73,0)</f>
      </c>
    </row>
    <row r="74" ht="14.4" customHeight="1">
      <c r="A74" s="14" t="str">
        <v/>
      </c>
      <c r="B74" s="15" t="str">
        <v>0093 SERVICIO DE MANTENIMIENTO VIAL RUTINARIO DEL CAMINO VECINAL NO PAVIMENTADO DEL PI-846 TRAMO: EMP. PI-845 - ALIGUAY - COMENDEROS BAJO (KM 02+703) (L2.703 KM), DISTRITO DE HUANCABAMBA - HUANCABA</v>
      </c>
      <c r="C74" s="16">
        <v>0</v>
      </c>
      <c r="D74" s="16">
        <v>18293</v>
      </c>
      <c r="E74" s="16">
        <v>18293</v>
      </c>
      <c r="F74" s="17">
        <v>18293</v>
      </c>
      <c r="G74" s="17">
        <v>18293</v>
      </c>
      <c r="H74" s="17">
        <v>0</v>
      </c>
      <c r="I74" s="17">
        <v>0</v>
      </c>
      <c r="J74" s="17">
        <v>0</v>
      </c>
      <c r="K74" s="17">
        <v>0</v>
      </c>
      <c r="L74" s="18">
        <f>IF(E74&gt;0,I74/E74,0)</f>
      </c>
    </row>
    <row r="75" ht="14.4" customHeight="1">
      <c r="A75" s="14" t="str">
        <v/>
      </c>
      <c r="B75" s="15" t="str">
        <v>0094 SERVICIO DE MANTENIMIENTO VIAL RUTINARIO DEL CAMINO VECINAL NO PAVIMENTADO DEL PI-853TRAMO:(LA PERLA)(KM1+592).PI-856(KM 27+692).PI-853.PI-856.PI-853-(JACOCHA).PI-856.PI-853(PUENTECHULA).PI-85</v>
      </c>
      <c r="C75" s="16">
        <v>0</v>
      </c>
      <c r="D75" s="16">
        <v>306241</v>
      </c>
      <c r="E75" s="16">
        <v>306241</v>
      </c>
      <c r="F75" s="17">
        <v>306241</v>
      </c>
      <c r="G75" s="17">
        <v>306241</v>
      </c>
      <c r="H75" s="17">
        <v>0</v>
      </c>
      <c r="I75" s="17">
        <v>0</v>
      </c>
      <c r="J75" s="17">
        <v>0</v>
      </c>
      <c r="K75" s="17">
        <v>0</v>
      </c>
      <c r="L75" s="18">
        <f>IF(E75&gt;0,I75/E75,0)</f>
      </c>
    </row>
    <row r="76" ht="14.4" customHeight="1">
      <c r="A76" s="14" t="str">
        <v/>
      </c>
      <c r="B76" s="15" t="str">
        <v>0095 SERVICIO DE MANTENIMIENTO VIAL RUTINARIO DEL CAMINO VECINAL NO PAVIMENTADO DEL PI-851 TRAMO:EMP.PE-3N (DV.SOCCHAPAMPA)-SOCCHAPAMPA (KM 02+113); R200322 TRAMO: EMP. PI-851 (SOCCHAPAMPA) - DISTR</v>
      </c>
      <c r="C76" s="16">
        <v>0</v>
      </c>
      <c r="D76" s="16">
        <v>34531</v>
      </c>
      <c r="E76" s="16">
        <v>34531</v>
      </c>
      <c r="F76" s="17">
        <v>34531</v>
      </c>
      <c r="G76" s="17">
        <v>34531</v>
      </c>
      <c r="H76" s="17">
        <v>0</v>
      </c>
      <c r="I76" s="17">
        <v>0</v>
      </c>
      <c r="J76" s="17">
        <v>0</v>
      </c>
      <c r="K76" s="17">
        <v>0</v>
      </c>
      <c r="L76" s="18">
        <f>IF(E76&gt;0,I76/E76,0)</f>
      </c>
    </row>
    <row r="77" ht="14.4" customHeight="1">
      <c r="A77" s="14" t="str">
        <v/>
      </c>
      <c r="B77" s="15" t="str">
        <v>0105 CONSTRUCCION DE PUENTES</v>
      </c>
      <c r="C77" s="16">
        <v>0</v>
      </c>
      <c r="D77" s="16">
        <v>484227</v>
      </c>
      <c r="E77" s="16">
        <v>484227</v>
      </c>
      <c r="F77" s="17">
        <v>0</v>
      </c>
      <c r="G77" s="17">
        <v>0</v>
      </c>
      <c r="H77" s="17">
        <v>484227</v>
      </c>
      <c r="I77" s="17">
        <v>365441.19</v>
      </c>
      <c r="J77" s="17">
        <v>347192.92</v>
      </c>
      <c r="K77" s="17">
        <v>347192.92</v>
      </c>
      <c r="L77" s="18">
        <f>IF(E77&gt;0,I77/E77,0)</f>
      </c>
    </row>
    <row r="78" ht="14.4" customHeight="1">
      <c r="A78" s="19" t="str">
        <v>0144</v>
      </c>
      <c r="B78" s="20" t="str">
        <v>CONSERVACION Y USO SOSTENIBLE DE ECOSISTEMAS PARA LA PROVISION DE SERVICIOS</v>
      </c>
      <c r="C78" s="21">
        <v>0</v>
      </c>
      <c r="D78" s="21">
        <v>10000</v>
      </c>
      <c r="E78" s="21">
        <v>10000</v>
      </c>
      <c r="F78" s="22">
        <v>0</v>
      </c>
      <c r="G78" s="22">
        <v>0</v>
      </c>
      <c r="H78" s="22">
        <v>0</v>
      </c>
      <c r="I78" s="22">
        <v>0</v>
      </c>
      <c r="J78" s="22">
        <v>0</v>
      </c>
      <c r="K78" s="22">
        <v>0</v>
      </c>
      <c r="L78" s="23">
        <f>IF(E78&gt;0,I78/E78,0)</f>
      </c>
    </row>
    <row r="79" ht="14.4" customHeight="1">
      <c r="A79" s="14" t="str">
        <v/>
      </c>
      <c r="B79" s="15" t="str">
        <v>0087 SEGUIMIENTO Y VERIFICACION DEL CUMPLIMIENTO DE LAS OBLIGACIONES AMBIENTALES</v>
      </c>
      <c r="C79" s="16">
        <v>0</v>
      </c>
      <c r="D79" s="16">
        <v>10000</v>
      </c>
      <c r="E79" s="16">
        <v>10000</v>
      </c>
      <c r="F79" s="17">
        <v>0</v>
      </c>
      <c r="G79" s="17">
        <v>0</v>
      </c>
      <c r="H79" s="17">
        <v>0</v>
      </c>
      <c r="I79" s="17">
        <v>0</v>
      </c>
      <c r="J79" s="17">
        <v>0</v>
      </c>
      <c r="K79" s="17">
        <v>0</v>
      </c>
      <c r="L79" s="18">
        <f>IF(E79&gt;0,I79/E79,0)</f>
      </c>
    </row>
    <row r="80" ht="14.4" customHeight="1">
      <c r="A80" s="19" t="str">
        <v>0148</v>
      </c>
      <c r="B80" s="20" t="str">
        <v>REDUCCION DEL TIEMPO, INSEGURIDAD Y COSTO AMBIENTAL EN EL TRANSPORTE URBANO</v>
      </c>
      <c r="C80" s="21">
        <v>0</v>
      </c>
      <c r="D80" s="21">
        <v>3766267</v>
      </c>
      <c r="E80" s="21">
        <v>3766267</v>
      </c>
      <c r="F80" s="22">
        <v>0</v>
      </c>
      <c r="G80" s="22">
        <v>0</v>
      </c>
      <c r="H80" s="22">
        <v>0</v>
      </c>
      <c r="I80" s="22">
        <v>0</v>
      </c>
      <c r="J80" s="22">
        <v>0</v>
      </c>
      <c r="K80" s="22">
        <v>0</v>
      </c>
      <c r="L80" s="23">
        <f>IF(E80&gt;0,I80/E80,0)</f>
      </c>
    </row>
    <row r="81" ht="14.4" customHeight="1">
      <c r="A81" s="14" t="str">
        <v/>
      </c>
      <c r="B81" s="15" t="str">
        <v>0109 CONSTRUCCION DE VEREDAS</v>
      </c>
      <c r="C81" s="16">
        <v>0</v>
      </c>
      <c r="D81" s="16">
        <v>3723267</v>
      </c>
      <c r="E81" s="16">
        <v>3723267</v>
      </c>
      <c r="F81" s="17">
        <v>0</v>
      </c>
      <c r="G81" s="17">
        <v>0</v>
      </c>
      <c r="H81" s="17">
        <v>0</v>
      </c>
      <c r="I81" s="17">
        <v>0</v>
      </c>
      <c r="J81" s="17">
        <v>0</v>
      </c>
      <c r="K81" s="17">
        <v>0</v>
      </c>
      <c r="L81" s="18">
        <f>IF(E81&gt;0,I81/E81,0)</f>
      </c>
    </row>
    <row r="82" ht="14.4" customHeight="1">
      <c r="A82" s="14" t="str">
        <v/>
      </c>
      <c r="B82" s="15" t="str">
        <v>0114 MEJORAMIENTO SERVICIO DE TRANSITABILIDAD VEHICULAR Y PEATONAL SECTOR LA VILLA Y SECTOR EL ALTO DE LA PALOMA DEL DISTRITO DE HUANCABAMBA, HUANCABAMBA, PIURA</v>
      </c>
      <c r="C82" s="16">
        <v>0</v>
      </c>
      <c r="D82" s="16">
        <v>43000</v>
      </c>
      <c r="E82" s="16">
        <v>43000</v>
      </c>
      <c r="F82" s="17">
        <v>0</v>
      </c>
      <c r="G82" s="17">
        <v>0</v>
      </c>
      <c r="H82" s="17">
        <v>0</v>
      </c>
      <c r="I82" s="17">
        <v>0</v>
      </c>
      <c r="J82" s="17">
        <v>0</v>
      </c>
      <c r="K82" s="17">
        <v>0</v>
      </c>
      <c r="L82" s="18">
        <f>IF(E82&gt;0,I82/E82,0)</f>
      </c>
    </row>
    <row r="83" ht="14.4" customHeight="1">
      <c r="A83" s="19" t="str">
        <v>1001</v>
      </c>
      <c r="B83" s="20" t="str">
        <v>PRODUCTOS ESPECIFICOS PARA DESARROLLO INFANTIL TEMPRANO</v>
      </c>
      <c r="C83" s="21">
        <v>247675</v>
      </c>
      <c r="D83" s="21">
        <v>0</v>
      </c>
      <c r="E83" s="21">
        <v>247675</v>
      </c>
      <c r="F83" s="22">
        <v>144384</v>
      </c>
      <c r="G83" s="22">
        <v>0</v>
      </c>
      <c r="H83" s="22">
        <v>0</v>
      </c>
      <c r="I83" s="22">
        <v>0</v>
      </c>
      <c r="J83" s="22">
        <v>0</v>
      </c>
      <c r="K83" s="22">
        <v>0</v>
      </c>
      <c r="L83" s="23">
        <f>IF(E83&gt;0,I83/E83,0)</f>
      </c>
    </row>
    <row r="84" ht="14.4" customHeight="1">
      <c r="A84" s="14" t="str">
        <v/>
      </c>
      <c r="B84" s="15" t="str">
        <v>0040 FAMILIAS SALUDABLES CON CONOCIMIENTOS PARA EL CUIDADO INFANTIL, LACTANCIA MATERNA EXCLUSIVA Y LA ADECUADA ALIMENTACION Y PROTECCION DEL MENOR DE 36 MESES</v>
      </c>
      <c r="C84" s="16">
        <v>100000</v>
      </c>
      <c r="D84" s="16">
        <v>0</v>
      </c>
      <c r="E84" s="16">
        <v>100000</v>
      </c>
      <c r="F84" s="17">
        <v>0</v>
      </c>
      <c r="G84" s="17">
        <v>0</v>
      </c>
      <c r="H84" s="17">
        <v>0</v>
      </c>
      <c r="I84" s="17">
        <v>0</v>
      </c>
      <c r="J84" s="17">
        <v>0</v>
      </c>
      <c r="K84" s="17">
        <v>0</v>
      </c>
      <c r="L84" s="18">
        <f>IF(E84&gt;0,I84/E84,0)</f>
      </c>
    </row>
    <row r="85" ht="14.4" customHeight="1">
      <c r="A85" s="14" t="str">
        <v/>
      </c>
      <c r="B85" s="15" t="str">
        <v>0041 ACCIONES DE LOS MUNICIPIOS QUE PROMUEVEN EL CUIDADO INFANTIL Y LA ADECUADA ALIMENTACION</v>
      </c>
      <c r="C85" s="16">
        <v>147675</v>
      </c>
      <c r="D85" s="16">
        <v>0</v>
      </c>
      <c r="E85" s="16">
        <v>147675</v>
      </c>
      <c r="F85" s="17">
        <v>144384</v>
      </c>
      <c r="G85" s="17">
        <v>0</v>
      </c>
      <c r="H85" s="17">
        <v>0</v>
      </c>
      <c r="I85" s="17">
        <v>0</v>
      </c>
      <c r="J85" s="17">
        <v>0</v>
      </c>
      <c r="K85" s="17">
        <v>0</v>
      </c>
      <c r="L85" s="18">
        <f>IF(E85&gt;0,I85/E85,0)</f>
      </c>
    </row>
    <row r="86" ht="14.4" customHeight="1">
      <c r="A86" s="19" t="str">
        <v>9001</v>
      </c>
      <c r="B86" s="20" t="str">
        <v>ACCIONES CENTRALES</v>
      </c>
      <c r="C86" s="21">
        <v>23188482</v>
      </c>
      <c r="D86" s="21">
        <v>-397032</v>
      </c>
      <c r="E86" s="21">
        <v>22791450</v>
      </c>
      <c r="F86" s="22">
        <v>8377329.3100000005</v>
      </c>
      <c r="G86" s="22">
        <v>3156598.39</v>
      </c>
      <c r="H86" s="22">
        <v>5168055.87</v>
      </c>
      <c r="I86" s="22">
        <v>4568711.26</v>
      </c>
      <c r="J86" s="22">
        <v>4344316.49</v>
      </c>
      <c r="K86" s="22">
        <v>4344316.49</v>
      </c>
      <c r="L86" s="23">
        <f>IF(E86&gt;0,I86/E86,0)</f>
      </c>
    </row>
    <row r="87" ht="14.4" customHeight="1">
      <c r="A87" s="14" t="str">
        <v/>
      </c>
      <c r="B87" s="15" t="str">
        <v>0042 PLANEAMIENTO Y PRESUPUESTO</v>
      </c>
      <c r="C87" s="16">
        <v>517008</v>
      </c>
      <c r="D87" s="16">
        <v>52890</v>
      </c>
      <c r="E87" s="16">
        <v>569898</v>
      </c>
      <c r="F87" s="17">
        <v>145651.66</v>
      </c>
      <c r="G87" s="17">
        <v>23641.66</v>
      </c>
      <c r="H87" s="17">
        <v>118098.36</v>
      </c>
      <c r="I87" s="17">
        <v>115098.36</v>
      </c>
      <c r="J87" s="17">
        <v>115098.36</v>
      </c>
      <c r="K87" s="17">
        <v>115098.36</v>
      </c>
      <c r="L87" s="18">
        <f>IF(E87&gt;0,I87/E87,0)</f>
      </c>
    </row>
    <row r="88" ht="14.4" customHeight="1">
      <c r="A88" s="14" t="str">
        <v/>
      </c>
      <c r="B88" s="15" t="str">
        <v>0043 DESARROLLAR EL PLANEAMIENTO DE LA GESTION</v>
      </c>
      <c r="C88" s="16">
        <v>60000</v>
      </c>
      <c r="D88" s="16">
        <v>0</v>
      </c>
      <c r="E88" s="16">
        <v>60000</v>
      </c>
      <c r="F88" s="17">
        <v>3582.5</v>
      </c>
      <c r="G88" s="17">
        <v>3582.5</v>
      </c>
      <c r="H88" s="17">
        <v>7189.5</v>
      </c>
      <c r="I88" s="17">
        <v>7189.5</v>
      </c>
      <c r="J88" s="17">
        <v>6087.5</v>
      </c>
      <c r="K88" s="17">
        <v>6087.5</v>
      </c>
      <c r="L88" s="18">
        <f>IF(E88&gt;0,I88/E88,0)</f>
      </c>
    </row>
    <row r="89" ht="14.4" customHeight="1">
      <c r="A89" s="14" t="str">
        <v/>
      </c>
      <c r="B89" s="15" t="str">
        <v>0044 NORMAR Y FISCALIZAR</v>
      </c>
      <c r="C89" s="16">
        <v>591607</v>
      </c>
      <c r="D89" s="16">
        <v>0</v>
      </c>
      <c r="E89" s="16">
        <v>591607</v>
      </c>
      <c r="F89" s="17">
        <v>516607</v>
      </c>
      <c r="G89" s="17">
        <v>49868</v>
      </c>
      <c r="H89" s="17">
        <v>118482</v>
      </c>
      <c r="I89" s="17">
        <v>118482</v>
      </c>
      <c r="J89" s="17">
        <v>112922.9</v>
      </c>
      <c r="K89" s="17">
        <v>112922.9</v>
      </c>
      <c r="L89" s="18">
        <f>IF(E89&gt;0,I89/E89,0)</f>
      </c>
    </row>
    <row r="90" ht="14.4" customHeight="1">
      <c r="A90" s="14" t="str">
        <v/>
      </c>
      <c r="B90" s="15" t="str">
        <v>0045 GARANTIZAR EL FINANCIAMIENTO DE PUNCHE GERENTES</v>
      </c>
      <c r="C90" s="16">
        <v>142308</v>
      </c>
      <c r="D90" s="16">
        <v>0</v>
      </c>
      <c r="E90" s="16">
        <v>142308</v>
      </c>
      <c r="F90" s="17">
        <v>140679</v>
      </c>
      <c r="G90" s="17">
        <v>18966</v>
      </c>
      <c r="H90" s="17">
        <v>28449</v>
      </c>
      <c r="I90" s="17">
        <v>28449</v>
      </c>
      <c r="J90" s="17">
        <v>28449</v>
      </c>
      <c r="K90" s="17">
        <v>28449</v>
      </c>
      <c r="L90" s="18">
        <f>IF(E90&gt;0,I90/E90,0)</f>
      </c>
    </row>
    <row r="91" ht="14.4" customHeight="1">
      <c r="A91" s="14" t="str">
        <v/>
      </c>
      <c r="B91" s="15" t="str">
        <v>0046 GERENCIAR RECURSOS MATERIALES, HUMANOS Y FINANCIEROS</v>
      </c>
      <c r="C91" s="16">
        <v>21210257</v>
      </c>
      <c r="D91" s="16">
        <v>-538197</v>
      </c>
      <c r="E91" s="16">
        <v>20672060</v>
      </c>
      <c r="F91" s="17">
        <v>7335009.15</v>
      </c>
      <c r="G91" s="17">
        <v>2838740.23</v>
      </c>
      <c r="H91" s="17">
        <v>4587057.01</v>
      </c>
      <c r="I91" s="17">
        <v>4049182.4</v>
      </c>
      <c r="J91" s="17">
        <v>3832105.93</v>
      </c>
      <c r="K91" s="17">
        <v>3832105.93</v>
      </c>
      <c r="L91" s="18">
        <f>IF(E91&gt;0,I91/E91,0)</f>
      </c>
    </row>
    <row r="92" ht="14.4" customHeight="1">
      <c r="A92" s="14" t="str">
        <v/>
      </c>
      <c r="B92" s="15" t="str">
        <v>0047 REPOTENCIACION Y MANTENIMIENTO DE MAQUINARIA MUNICIPAL</v>
      </c>
      <c r="C92" s="16">
        <v>364369</v>
      </c>
      <c r="D92" s="16">
        <v>64275</v>
      </c>
      <c r="E92" s="16">
        <v>428644</v>
      </c>
      <c r="F92" s="17">
        <v>173800</v>
      </c>
      <c r="G92" s="17">
        <v>173800</v>
      </c>
      <c r="H92" s="17">
        <v>238450</v>
      </c>
      <c r="I92" s="17">
        <v>203480</v>
      </c>
      <c r="J92" s="17">
        <v>202834.8</v>
      </c>
      <c r="K92" s="17">
        <v>202834.8</v>
      </c>
      <c r="L92" s="18">
        <f>IF(E92&gt;0,I92/E92,0)</f>
      </c>
    </row>
    <row r="93" ht="14.4" customHeight="1">
      <c r="A93" s="14" t="str">
        <v/>
      </c>
      <c r="B93" s="15" t="str">
        <v>0048 ASESORAMIENTO TECNICO JURIDICO</v>
      </c>
      <c r="C93" s="16">
        <v>73000</v>
      </c>
      <c r="D93" s="16">
        <v>0</v>
      </c>
      <c r="E93" s="16">
        <v>73000</v>
      </c>
      <c r="F93" s="17">
        <v>20000</v>
      </c>
      <c r="G93" s="17">
        <v>6000</v>
      </c>
      <c r="H93" s="17">
        <v>27000</v>
      </c>
      <c r="I93" s="17">
        <v>15500</v>
      </c>
      <c r="J93" s="17">
        <v>15500</v>
      </c>
      <c r="K93" s="17">
        <v>15500</v>
      </c>
      <c r="L93" s="18">
        <f>IF(E93&gt;0,I93/E93,0)</f>
      </c>
    </row>
    <row r="94" ht="14.4" customHeight="1">
      <c r="A94" s="14" t="str">
        <v/>
      </c>
      <c r="B94" s="15" t="str">
        <v>0049 CONTROL Y AUDITORIA</v>
      </c>
      <c r="C94" s="16">
        <v>185933</v>
      </c>
      <c r="D94" s="16">
        <v>0</v>
      </c>
      <c r="E94" s="16">
        <v>185933</v>
      </c>
      <c r="F94" s="17">
        <v>24000</v>
      </c>
      <c r="G94" s="17">
        <v>24000</v>
      </c>
      <c r="H94" s="17">
        <v>24000</v>
      </c>
      <c r="I94" s="17">
        <v>12000</v>
      </c>
      <c r="J94" s="17">
        <v>11988</v>
      </c>
      <c r="K94" s="17">
        <v>11988</v>
      </c>
      <c r="L94" s="18">
        <f>IF(E94&gt;0,I94/E94,0)</f>
      </c>
    </row>
    <row r="95" ht="14.4" customHeight="1">
      <c r="A95" s="14" t="str">
        <v/>
      </c>
      <c r="B95" s="15" t="str">
        <v>0050 DEFENSA JUDICIAL DEL ESTADO</v>
      </c>
      <c r="C95" s="16">
        <v>44000</v>
      </c>
      <c r="D95" s="16">
        <v>24000</v>
      </c>
      <c r="E95" s="16">
        <v>68000</v>
      </c>
      <c r="F95" s="17">
        <v>18000</v>
      </c>
      <c r="G95" s="17">
        <v>18000</v>
      </c>
      <c r="H95" s="17">
        <v>19330</v>
      </c>
      <c r="I95" s="17">
        <v>19330</v>
      </c>
      <c r="J95" s="17">
        <v>19330</v>
      </c>
      <c r="K95" s="17">
        <v>19330</v>
      </c>
      <c r="L95" s="18">
        <f>IF(E95&gt;0,I95/E95,0)</f>
      </c>
    </row>
    <row r="96" ht="14.4" customHeight="1">
      <c r="A96" s="19" t="str">
        <v>9002</v>
      </c>
      <c r="B96" s="20" t="str">
        <v>ASIGNACIONES PRESUPUESTARIAS QUE NO RESULTAN EN PRODUCTOS</v>
      </c>
      <c r="C96" s="21">
        <v>9261219</v>
      </c>
      <c r="D96" s="21">
        <v>1103161</v>
      </c>
      <c r="E96" s="21">
        <v>10364380</v>
      </c>
      <c r="F96" s="22">
        <v>3702622.36</v>
      </c>
      <c r="G96" s="22">
        <v>1378255.07</v>
      </c>
      <c r="H96" s="22">
        <v>2005161.94</v>
      </c>
      <c r="I96" s="22">
        <v>1603854.08</v>
      </c>
      <c r="J96" s="22">
        <v>1283328.79</v>
      </c>
      <c r="K96" s="22">
        <v>1283328.79</v>
      </c>
      <c r="L96" s="23">
        <f>IF(E96&gt;0,I96/E96,0)</f>
      </c>
    </row>
    <row r="97" ht="14.4" customHeight="1">
      <c r="A97" s="14" t="str">
        <v/>
      </c>
      <c r="B97" s="15" t="str">
        <v>0051 PLANEAMIENTO Y PRESUPUESTO</v>
      </c>
      <c r="C97" s="16">
        <v>70200</v>
      </c>
      <c r="D97" s="16">
        <v>0</v>
      </c>
      <c r="E97" s="16">
        <v>70200</v>
      </c>
      <c r="F97" s="17">
        <v>0</v>
      </c>
      <c r="G97" s="17">
        <v>0</v>
      </c>
      <c r="H97" s="17">
        <v>0</v>
      </c>
      <c r="I97" s="17">
        <v>0</v>
      </c>
      <c r="J97" s="17">
        <v>0</v>
      </c>
      <c r="K97" s="17">
        <v>0</v>
      </c>
      <c r="L97" s="18">
        <f>IF(E97&gt;0,I97/E97,0)</f>
      </c>
    </row>
    <row r="98" ht="14.4" customHeight="1">
      <c r="A98" s="14" t="str">
        <v/>
      </c>
      <c r="B98" s="15" t="str">
        <v>0052 ELABORACION DE ESTUDIOS DE PREINVERSION</v>
      </c>
      <c r="C98" s="16">
        <v>989150</v>
      </c>
      <c r="D98" s="16">
        <v>-245591</v>
      </c>
      <c r="E98" s="16">
        <v>743559</v>
      </c>
      <c r="F98" s="17">
        <v>0</v>
      </c>
      <c r="G98" s="17">
        <v>0</v>
      </c>
      <c r="H98" s="17">
        <v>20000</v>
      </c>
      <c r="I98" s="17">
        <v>20000</v>
      </c>
      <c r="J98" s="17">
        <v>0</v>
      </c>
      <c r="K98" s="17">
        <v>0</v>
      </c>
      <c r="L98" s="18">
        <f>IF(E98&gt;0,I98/E98,0)</f>
      </c>
    </row>
    <row r="99" ht="14.4" customHeight="1">
      <c r="A99" s="14" t="str">
        <v/>
      </c>
      <c r="B99" s="15" t="str">
        <v>0053 PLANEAMIENTO Y PRESUPUESTO</v>
      </c>
      <c r="C99" s="16">
        <v>46800</v>
      </c>
      <c r="D99" s="16">
        <v>0</v>
      </c>
      <c r="E99" s="16">
        <v>46800</v>
      </c>
      <c r="F99" s="17">
        <v>0</v>
      </c>
      <c r="G99" s="17">
        <v>0</v>
      </c>
      <c r="H99" s="17">
        <v>0</v>
      </c>
      <c r="I99" s="17">
        <v>0</v>
      </c>
      <c r="J99" s="17">
        <v>0</v>
      </c>
      <c r="K99" s="17">
        <v>0</v>
      </c>
      <c r="L99" s="18">
        <f>IF(E99&gt;0,I99/E99,0)</f>
      </c>
    </row>
    <row r="100" ht="14.4" customHeight="1">
      <c r="A100" s="14" t="str">
        <v/>
      </c>
      <c r="B100" s="15" t="str">
        <v>0054 ELABORACION DE ESTUDIOS DE PREINVERSION</v>
      </c>
      <c r="C100" s="16">
        <v>190004</v>
      </c>
      <c r="D100" s="16">
        <v>0</v>
      </c>
      <c r="E100" s="16">
        <v>190004</v>
      </c>
      <c r="F100" s="17">
        <v>0</v>
      </c>
      <c r="G100" s="17">
        <v>0</v>
      </c>
      <c r="H100" s="17">
        <v>0</v>
      </c>
      <c r="I100" s="17">
        <v>0</v>
      </c>
      <c r="J100" s="17">
        <v>0</v>
      </c>
      <c r="K100" s="17">
        <v>0</v>
      </c>
      <c r="L100" s="18">
        <f>IF(E100&gt;0,I100/E100,0)</f>
      </c>
    </row>
    <row r="101" ht="14.4" customHeight="1">
      <c r="A101" s="14" t="str">
        <v/>
      </c>
      <c r="B101" s="15" t="str">
        <v>0055 ELABORACION DE ESTUDIOS DE PREINVERSION</v>
      </c>
      <c r="C101" s="16">
        <v>156000</v>
      </c>
      <c r="D101" s="16">
        <v>98500</v>
      </c>
      <c r="E101" s="16">
        <v>254500</v>
      </c>
      <c r="F101" s="17">
        <v>0</v>
      </c>
      <c r="G101" s="17">
        <v>0</v>
      </c>
      <c r="H101" s="17">
        <v>84600</v>
      </c>
      <c r="I101" s="17">
        <v>0</v>
      </c>
      <c r="J101" s="17">
        <v>0</v>
      </c>
      <c r="K101" s="17">
        <v>0</v>
      </c>
      <c r="L101" s="18">
        <f>IF(E101&gt;0,I101/E101,0)</f>
      </c>
    </row>
    <row r="102" ht="14.4" customHeight="1">
      <c r="A102" s="14" t="str">
        <v/>
      </c>
      <c r="B102" s="15" t="str">
        <v>0056 MEJORAMIENTO DE LOS SERVICIOS DE APOYO AL DESARROLLO PRODUCTIVO EN LA CADENA PRODUCTIVA DE TRIGO EN EL DISTRITO DE SONDOR, DISTRITO EL CARMEN, DE LA FRONTERA Y HUANCABAMBA - HUANCABAMBA - PIUR</v>
      </c>
      <c r="C102" s="16">
        <v>1619531</v>
      </c>
      <c r="D102" s="16">
        <v>-727984</v>
      </c>
      <c r="E102" s="16">
        <v>891547</v>
      </c>
      <c r="F102" s="17">
        <v>234931</v>
      </c>
      <c r="G102" s="17">
        <v>206731</v>
      </c>
      <c r="H102" s="17">
        <v>275798</v>
      </c>
      <c r="I102" s="17">
        <v>172831</v>
      </c>
      <c r="J102" s="17">
        <v>52100</v>
      </c>
      <c r="K102" s="17">
        <v>52100</v>
      </c>
      <c r="L102" s="18">
        <f>IF(E102&gt;0,I102/E102,0)</f>
      </c>
    </row>
    <row r="103" ht="14.4" customHeight="1">
      <c r="A103" s="14" t="str">
        <v/>
      </c>
      <c r="B103" s="15" t="str">
        <v>0057 TRANSFERENCIA FINANCIERA PARA EL PAGO DE PLANILLAS DE REMUNERACIONES Y PENSIONES DE PERSONAL ACTIVO Y PENSIONISTA DE LAS SOCIEDADES DE BENEFICENCIA PUBLICA</v>
      </c>
      <c r="C103" s="16">
        <v>78625</v>
      </c>
      <c r="D103" s="16">
        <v>0</v>
      </c>
      <c r="E103" s="16">
        <v>78625</v>
      </c>
      <c r="F103" s="17">
        <v>78625</v>
      </c>
      <c r="G103" s="17">
        <v>78625</v>
      </c>
      <c r="H103" s="17">
        <v>78625</v>
      </c>
      <c r="I103" s="17">
        <v>78625</v>
      </c>
      <c r="J103" s="17">
        <v>78625</v>
      </c>
      <c r="K103" s="17">
        <v>78625</v>
      </c>
      <c r="L103" s="18">
        <f>IF(E103&gt;0,I103/E103,0)</f>
      </c>
    </row>
    <row r="104" ht="14.4" customHeight="1">
      <c r="A104" s="14" t="str">
        <v/>
      </c>
      <c r="B104" s="15" t="str">
        <v>0058 ASISTENCIA AL CIUDADANO, FAMILIA Y DISCAPACITADO</v>
      </c>
      <c r="C104" s="16">
        <v>300000</v>
      </c>
      <c r="D104" s="16">
        <v>0</v>
      </c>
      <c r="E104" s="16">
        <v>300000</v>
      </c>
      <c r="F104" s="17">
        <v>1300</v>
      </c>
      <c r="G104" s="17">
        <v>1300</v>
      </c>
      <c r="H104" s="17">
        <v>19300</v>
      </c>
      <c r="I104" s="17">
        <v>19300</v>
      </c>
      <c r="J104" s="17">
        <v>1300</v>
      </c>
      <c r="K104" s="17">
        <v>1300</v>
      </c>
      <c r="L104" s="18">
        <f>IF(E104&gt;0,I104/E104,0)</f>
      </c>
    </row>
    <row r="105" ht="14.4" customHeight="1">
      <c r="A105" s="14" t="str">
        <v/>
      </c>
      <c r="B105" s="15" t="str">
        <v>0059 APOYO A LA ACCION COMUNAL</v>
      </c>
      <c r="C105" s="16">
        <v>100000</v>
      </c>
      <c r="D105" s="16">
        <v>-78000</v>
      </c>
      <c r="E105" s="16">
        <v>22000</v>
      </c>
      <c r="F105" s="17">
        <v>0</v>
      </c>
      <c r="G105" s="17">
        <v>0</v>
      </c>
      <c r="H105" s="17">
        <v>0</v>
      </c>
      <c r="I105" s="17">
        <v>0</v>
      </c>
      <c r="J105" s="17">
        <v>0</v>
      </c>
      <c r="K105" s="17">
        <v>0</v>
      </c>
      <c r="L105" s="18">
        <f>IF(E105&gt;0,I105/E105,0)</f>
      </c>
    </row>
    <row r="106" ht="14.4" customHeight="1">
      <c r="A106" s="14" t="str">
        <v/>
      </c>
      <c r="B106" s="15" t="str">
        <v>0060 ATENCION BASICA DE SALUD</v>
      </c>
      <c r="C106" s="16">
        <v>250000</v>
      </c>
      <c r="D106" s="16">
        <v>-50000</v>
      </c>
      <c r="E106" s="16">
        <v>200000</v>
      </c>
      <c r="F106" s="17">
        <v>1500</v>
      </c>
      <c r="G106" s="17">
        <v>1500</v>
      </c>
      <c r="H106" s="17">
        <v>1500</v>
      </c>
      <c r="I106" s="17">
        <v>1500</v>
      </c>
      <c r="J106" s="17">
        <v>1500</v>
      </c>
      <c r="K106" s="17">
        <v>1500</v>
      </c>
      <c r="L106" s="18">
        <f>IF(E106&gt;0,I106/E106,0)</f>
      </c>
    </row>
    <row r="107" ht="14.4" customHeight="1">
      <c r="A107" s="14" t="str">
        <v/>
      </c>
      <c r="B107" s="15" t="str">
        <v>0061 CONDUCCION Y MANEJO DE LOS REGISTROS CIVILES</v>
      </c>
      <c r="C107" s="16">
        <v>30000</v>
      </c>
      <c r="D107" s="16">
        <v>0</v>
      </c>
      <c r="E107" s="16">
        <v>30000</v>
      </c>
      <c r="F107" s="17">
        <v>6934.5</v>
      </c>
      <c r="G107" s="17">
        <v>6934.5</v>
      </c>
      <c r="H107" s="17">
        <v>6934.5</v>
      </c>
      <c r="I107" s="17">
        <v>6934.5</v>
      </c>
      <c r="J107" s="17">
        <v>6934.5</v>
      </c>
      <c r="K107" s="17">
        <v>6934.5</v>
      </c>
      <c r="L107" s="18">
        <f>IF(E107&gt;0,I107/E107,0)</f>
      </c>
    </row>
    <row r="108" ht="14.4" customHeight="1">
      <c r="A108" s="14" t="str">
        <v/>
      </c>
      <c r="B108" s="15" t="str">
        <v>0062 CONTROL SANITARIO</v>
      </c>
      <c r="C108" s="16">
        <v>30000</v>
      </c>
      <c r="D108" s="16">
        <v>0</v>
      </c>
      <c r="E108" s="16">
        <v>30000</v>
      </c>
      <c r="F108" s="17">
        <v>0</v>
      </c>
      <c r="G108" s="17">
        <v>0</v>
      </c>
      <c r="H108" s="17">
        <v>0</v>
      </c>
      <c r="I108" s="17">
        <v>0</v>
      </c>
      <c r="J108" s="17">
        <v>0</v>
      </c>
      <c r="K108" s="17">
        <v>0</v>
      </c>
      <c r="L108" s="18">
        <f>IF(E108&gt;0,I108/E108,0)</f>
      </c>
    </row>
    <row r="109" ht="14.4" customHeight="1">
      <c r="A109" s="14" t="str">
        <v/>
      </c>
      <c r="B109" s="15" t="str">
        <v>0063 DEFENSORIA MUNICIPAL DEL NIÑO Y DEL ADOLECENTE ( DEMUNA)</v>
      </c>
      <c r="C109" s="16">
        <v>46000</v>
      </c>
      <c r="D109" s="16">
        <v>0</v>
      </c>
      <c r="E109" s="16">
        <v>46000</v>
      </c>
      <c r="F109" s="17">
        <v>890</v>
      </c>
      <c r="G109" s="17">
        <v>890</v>
      </c>
      <c r="H109" s="17">
        <v>890</v>
      </c>
      <c r="I109" s="17">
        <v>890</v>
      </c>
      <c r="J109" s="17">
        <v>890</v>
      </c>
      <c r="K109" s="17">
        <v>890</v>
      </c>
      <c r="L109" s="18">
        <f>IF(E109&gt;0,I109/E109,0)</f>
      </c>
    </row>
    <row r="110" ht="14.4" customHeight="1">
      <c r="A110" s="14" t="str">
        <v/>
      </c>
      <c r="B110" s="15" t="str">
        <v>0064 FOMENTAR EL DEPORTE FUNDAMENTAL</v>
      </c>
      <c r="C110" s="16">
        <v>25000</v>
      </c>
      <c r="D110" s="16">
        <v>0</v>
      </c>
      <c r="E110" s="16">
        <v>25000</v>
      </c>
      <c r="F110" s="17">
        <v>0</v>
      </c>
      <c r="G110" s="17">
        <v>0</v>
      </c>
      <c r="H110" s="17">
        <v>0</v>
      </c>
      <c r="I110" s="17">
        <v>0</v>
      </c>
      <c r="J110" s="17">
        <v>0</v>
      </c>
      <c r="K110" s="17">
        <v>0</v>
      </c>
      <c r="L110" s="18">
        <f>IF(E110&gt;0,I110/E110,0)</f>
      </c>
    </row>
    <row r="111" ht="14.4" customHeight="1">
      <c r="A111" s="14" t="str">
        <v/>
      </c>
      <c r="B111" s="15" t="str">
        <v>0065 FORTALECIMIENTO DE SECTOR EDUCACION</v>
      </c>
      <c r="C111" s="16">
        <v>420000</v>
      </c>
      <c r="D111" s="16">
        <v>-255500</v>
      </c>
      <c r="E111" s="16">
        <v>164500</v>
      </c>
      <c r="F111" s="17">
        <v>44128</v>
      </c>
      <c r="G111" s="17">
        <v>42128</v>
      </c>
      <c r="H111" s="17">
        <v>58348</v>
      </c>
      <c r="I111" s="17">
        <v>46258</v>
      </c>
      <c r="J111" s="17">
        <v>45128</v>
      </c>
      <c r="K111" s="17">
        <v>45128</v>
      </c>
      <c r="L111" s="18">
        <f>IF(E111&gt;0,I111/E111,0)</f>
      </c>
    </row>
    <row r="112" ht="14.4" customHeight="1">
      <c r="A112" s="14" t="str">
        <v/>
      </c>
      <c r="B112" s="15" t="str">
        <v>0066 MANTENIMIENTO DE INFRAESTRUCTURA CONSTRUIDA</v>
      </c>
      <c r="C112" s="16">
        <v>66070</v>
      </c>
      <c r="D112" s="16">
        <v>206800</v>
      </c>
      <c r="E112" s="16">
        <v>272870</v>
      </c>
      <c r="F112" s="17">
        <v>195185.8</v>
      </c>
      <c r="G112" s="17">
        <v>195185.8</v>
      </c>
      <c r="H112" s="17">
        <v>195185.8</v>
      </c>
      <c r="I112" s="17">
        <v>195185.8</v>
      </c>
      <c r="J112" s="17">
        <v>190158.51</v>
      </c>
      <c r="K112" s="17">
        <v>190158.51</v>
      </c>
      <c r="L112" s="18">
        <f>IF(E112&gt;0,I112/E112,0)</f>
      </c>
    </row>
    <row r="113" ht="14.4" customHeight="1">
      <c r="A113" s="14" t="str">
        <v/>
      </c>
      <c r="B113" s="15" t="str">
        <v>0067 MANTENIMIENTO DE INFRAESTRUCTURA CONSTRUIDA</v>
      </c>
      <c r="C113" s="16">
        <v>21541</v>
      </c>
      <c r="D113" s="16">
        <v>0</v>
      </c>
      <c r="E113" s="16">
        <v>21541</v>
      </c>
      <c r="F113" s="17">
        <v>10732</v>
      </c>
      <c r="G113" s="17">
        <v>10732</v>
      </c>
      <c r="H113" s="17">
        <v>10732</v>
      </c>
      <c r="I113" s="17">
        <v>10732</v>
      </c>
      <c r="J113" s="17">
        <v>0</v>
      </c>
      <c r="K113" s="17">
        <v>0</v>
      </c>
      <c r="L113" s="18">
        <f>IF(E113&gt;0,I113/E113,0)</f>
      </c>
    </row>
    <row r="114" ht="14.4" customHeight="1">
      <c r="A114" s="14" t="str">
        <v/>
      </c>
      <c r="B114" s="15" t="str">
        <v>0068 MANTENIMIENTO DE INFRAESTRUCTURA CONSTRUIDA</v>
      </c>
      <c r="C114" s="16">
        <v>87892</v>
      </c>
      <c r="D114" s="16">
        <v>124263</v>
      </c>
      <c r="E114" s="16">
        <v>212155</v>
      </c>
      <c r="F114" s="17">
        <v>46135</v>
      </c>
      <c r="G114" s="17">
        <v>46135</v>
      </c>
      <c r="H114" s="17">
        <v>46135</v>
      </c>
      <c r="I114" s="17">
        <v>43775</v>
      </c>
      <c r="J114" s="17">
        <v>41345.84</v>
      </c>
      <c r="K114" s="17">
        <v>41345.84</v>
      </c>
      <c r="L114" s="18">
        <f>IF(E114&gt;0,I114/E114,0)</f>
      </c>
    </row>
    <row r="115" ht="14.4" customHeight="1">
      <c r="A115" s="14" t="str">
        <v/>
      </c>
      <c r="B115" s="15" t="str">
        <v>0069 MANTENIMIENTO DE INFRAESTRUCTURA CONSTRUIDA</v>
      </c>
      <c r="C115" s="16">
        <v>36390</v>
      </c>
      <c r="D115" s="16">
        <v>-5097</v>
      </c>
      <c r="E115" s="16">
        <v>31293</v>
      </c>
      <c r="F115" s="17">
        <v>18127</v>
      </c>
      <c r="G115" s="17">
        <v>18127</v>
      </c>
      <c r="H115" s="17">
        <v>18127</v>
      </c>
      <c r="I115" s="17">
        <v>18127</v>
      </c>
      <c r="J115" s="17">
        <v>0</v>
      </c>
      <c r="K115" s="17">
        <v>0</v>
      </c>
      <c r="L115" s="18">
        <f>IF(E115&gt;0,I115/E115,0)</f>
      </c>
    </row>
    <row r="116" ht="14.4" customHeight="1">
      <c r="A116" s="14" t="str">
        <v/>
      </c>
      <c r="B116" s="15" t="str">
        <v>0070 MANTENIMIENTO DE INFRAESTRUCTURA CONSTRUIDA</v>
      </c>
      <c r="C116" s="16">
        <v>14817</v>
      </c>
      <c r="D116" s="16">
        <v>0</v>
      </c>
      <c r="E116" s="16">
        <v>14817</v>
      </c>
      <c r="F116" s="17">
        <v>0</v>
      </c>
      <c r="G116" s="17">
        <v>0</v>
      </c>
      <c r="H116" s="17">
        <v>0</v>
      </c>
      <c r="I116" s="17">
        <v>0</v>
      </c>
      <c r="J116" s="17">
        <v>0</v>
      </c>
      <c r="K116" s="17">
        <v>0</v>
      </c>
      <c r="L116" s="18">
        <f>IF(E116&gt;0,I116/E116,0)</f>
      </c>
    </row>
    <row r="117" ht="14.4" customHeight="1">
      <c r="A117" s="14" t="str">
        <v/>
      </c>
      <c r="B117" s="15" t="str">
        <v>0071 MANTENIMIENTO DE INFRAESTRUCTURA CONSTRUIDA</v>
      </c>
      <c r="C117" s="16">
        <v>23290</v>
      </c>
      <c r="D117" s="16">
        <v>0</v>
      </c>
      <c r="E117" s="16">
        <v>23290</v>
      </c>
      <c r="F117" s="17">
        <v>0</v>
      </c>
      <c r="G117" s="17">
        <v>0</v>
      </c>
      <c r="H117" s="17">
        <v>0</v>
      </c>
      <c r="I117" s="17">
        <v>0</v>
      </c>
      <c r="J117" s="17">
        <v>0</v>
      </c>
      <c r="K117" s="17">
        <v>0</v>
      </c>
      <c r="L117" s="18">
        <f>IF(E117&gt;0,I117/E117,0)</f>
      </c>
    </row>
    <row r="118" ht="14.4" customHeight="1">
      <c r="A118" s="14" t="str">
        <v/>
      </c>
      <c r="B118" s="15" t="str">
        <v>0072 MANTENIMIENTO DE PARQUES Y JARDINES</v>
      </c>
      <c r="C118" s="16">
        <v>159637</v>
      </c>
      <c r="D118" s="16">
        <v>0</v>
      </c>
      <c r="E118" s="16">
        <v>159637</v>
      </c>
      <c r="F118" s="17">
        <v>5475</v>
      </c>
      <c r="G118" s="17">
        <v>5457</v>
      </c>
      <c r="H118" s="17">
        <v>12657</v>
      </c>
      <c r="I118" s="17">
        <v>12657</v>
      </c>
      <c r="J118" s="17">
        <v>12657</v>
      </c>
      <c r="K118" s="17">
        <v>12657</v>
      </c>
      <c r="L118" s="18">
        <f>IF(E118&gt;0,I118/E118,0)</f>
      </c>
    </row>
    <row r="119" ht="14.4" customHeight="1">
      <c r="A119" s="14" t="str">
        <v/>
      </c>
      <c r="B119" s="15" t="str">
        <v>0073 PAGO DE PENSIONES Y BENEFICIOS A CESANTES Y JUBILADOS</v>
      </c>
      <c r="C119" s="16">
        <v>397749</v>
      </c>
      <c r="D119" s="16">
        <v>0</v>
      </c>
      <c r="E119" s="16">
        <v>397749</v>
      </c>
      <c r="F119" s="17">
        <v>229944.86</v>
      </c>
      <c r="G119" s="17">
        <v>47842.47</v>
      </c>
      <c r="H119" s="17">
        <v>63849.96</v>
      </c>
      <c r="I119" s="17">
        <v>63849.96</v>
      </c>
      <c r="J119" s="17">
        <v>63849.96</v>
      </c>
      <c r="K119" s="17">
        <v>63849.96</v>
      </c>
      <c r="L119" s="18">
        <f>IF(E119&gt;0,I119/E119,0)</f>
      </c>
    </row>
    <row r="120" ht="14.4" customHeight="1">
      <c r="A120" s="14" t="str">
        <v/>
      </c>
      <c r="B120" s="15" t="str">
        <v>0074 PLAN DE DESARROLLO URBANO</v>
      </c>
      <c r="C120" s="16">
        <v>4950</v>
      </c>
      <c r="D120" s="16">
        <v>0</v>
      </c>
      <c r="E120" s="16">
        <v>4950</v>
      </c>
      <c r="F120" s="17">
        <v>0</v>
      </c>
      <c r="G120" s="17">
        <v>0</v>
      </c>
      <c r="H120" s="17">
        <v>0</v>
      </c>
      <c r="I120" s="17">
        <v>0</v>
      </c>
      <c r="J120" s="17">
        <v>0</v>
      </c>
      <c r="K120" s="17">
        <v>0</v>
      </c>
      <c r="L120" s="18">
        <f>IF(E120&gt;0,I120/E120,0)</f>
      </c>
    </row>
    <row r="121" ht="14.4" customHeight="1">
      <c r="A121" s="14" t="str">
        <v/>
      </c>
      <c r="B121" s="15" t="str">
        <v>0075 BRINDAR ASISTENCIA ALIMENTARIA</v>
      </c>
      <c r="C121" s="16">
        <v>636740</v>
      </c>
      <c r="D121" s="16">
        <v>103000</v>
      </c>
      <c r="E121" s="16">
        <v>739740</v>
      </c>
      <c r="F121" s="17">
        <v>714740</v>
      </c>
      <c r="G121" s="17">
        <v>0</v>
      </c>
      <c r="H121" s="17">
        <v>0</v>
      </c>
      <c r="I121" s="17">
        <v>0</v>
      </c>
      <c r="J121" s="17">
        <v>0</v>
      </c>
      <c r="K121" s="17">
        <v>0</v>
      </c>
      <c r="L121" s="18">
        <f>IF(E121&gt;0,I121/E121,0)</f>
      </c>
    </row>
    <row r="122" ht="14.4" customHeight="1">
      <c r="A122" s="14" t="str">
        <v/>
      </c>
      <c r="B122" s="15" t="str">
        <v>0076 BRINDAR ASISTENCIA ALIMENTARIA A COMEDORES</v>
      </c>
      <c r="C122" s="16">
        <v>562212</v>
      </c>
      <c r="D122" s="16">
        <v>0</v>
      </c>
      <c r="E122" s="16">
        <v>562212</v>
      </c>
      <c r="F122" s="17">
        <v>544011.5</v>
      </c>
      <c r="G122" s="17">
        <v>40300</v>
      </c>
      <c r="H122" s="17">
        <v>40300</v>
      </c>
      <c r="I122" s="17">
        <v>8800</v>
      </c>
      <c r="J122" s="17">
        <v>5300</v>
      </c>
      <c r="K122" s="17">
        <v>5300</v>
      </c>
      <c r="L122" s="18">
        <f>IF(E122&gt;0,I122/E122,0)</f>
      </c>
    </row>
    <row r="123" ht="14.4" customHeight="1">
      <c r="A123" s="14" t="str">
        <v/>
      </c>
      <c r="B123" s="15" t="str">
        <v>0077 TRANSFERENCIA FINANCIERA PARA SUBSIDIOS A COMEDORES POPULARES</v>
      </c>
      <c r="C123" s="16">
        <v>77224</v>
      </c>
      <c r="D123" s="16">
        <v>0</v>
      </c>
      <c r="E123" s="16">
        <v>77224</v>
      </c>
      <c r="F123" s="17">
        <v>0</v>
      </c>
      <c r="G123" s="17">
        <v>0</v>
      </c>
      <c r="H123" s="17">
        <v>12870.68</v>
      </c>
      <c r="I123" s="17">
        <v>12870.68</v>
      </c>
      <c r="J123" s="17">
        <v>12870.68</v>
      </c>
      <c r="K123" s="17">
        <v>12870.68</v>
      </c>
      <c r="L123" s="18">
        <f>IF(E123&gt;0,I123/E123,0)</f>
      </c>
    </row>
    <row r="124" ht="14.4" customHeight="1">
      <c r="A124" s="14" t="str">
        <v/>
      </c>
      <c r="B124" s="15" t="str">
        <v>0078 PROMOCION DEL COMERCIO</v>
      </c>
      <c r="C124" s="16">
        <v>56464</v>
      </c>
      <c r="D124" s="16">
        <v>0</v>
      </c>
      <c r="E124" s="16">
        <v>56464</v>
      </c>
      <c r="F124" s="17">
        <v>19746.4</v>
      </c>
      <c r="G124" s="17">
        <v>19351</v>
      </c>
      <c r="H124" s="17">
        <v>34331</v>
      </c>
      <c r="I124" s="17">
        <v>34331</v>
      </c>
      <c r="J124" s="17">
        <v>34211</v>
      </c>
      <c r="K124" s="17">
        <v>34211</v>
      </c>
      <c r="L124" s="18">
        <f>IF(E124&gt;0,I124/E124,0)</f>
      </c>
    </row>
    <row r="125" ht="14.4" customHeight="1">
      <c r="A125" s="14" t="str">
        <v/>
      </c>
      <c r="B125" s="15" t="str">
        <v>0079 PROMOCION E INCENTIVO DE LAS ACTIVIDADES ARTISTICAS Y CULTURALES</v>
      </c>
      <c r="C125" s="16">
        <v>816097</v>
      </c>
      <c r="D125" s="16">
        <v>-205000</v>
      </c>
      <c r="E125" s="16">
        <v>611097</v>
      </c>
      <c r="F125" s="17">
        <v>307786.3</v>
      </c>
      <c r="G125" s="17">
        <v>302786.3</v>
      </c>
      <c r="H125" s="17">
        <v>342301.3</v>
      </c>
      <c r="I125" s="17">
        <v>339291.3</v>
      </c>
      <c r="J125" s="17">
        <v>332263.3</v>
      </c>
      <c r="K125" s="17">
        <v>332263.3</v>
      </c>
      <c r="L125" s="18">
        <f>IF(E125&gt;0,I125/E125,0)</f>
      </c>
    </row>
    <row r="126" ht="14.4" customHeight="1">
      <c r="A126" s="14" t="str">
        <v/>
      </c>
      <c r="B126" s="15" t="str">
        <v>0080 SEGUIMIENTO DE FISCALIZACION DE LOS CONSEJOS REGIONALES Y CONCEJOS MUNICIPALES A NIVEL NACIONAL</v>
      </c>
      <c r="C126" s="16">
        <v>630536</v>
      </c>
      <c r="D126" s="16">
        <v>-248250</v>
      </c>
      <c r="E126" s="16">
        <v>382286</v>
      </c>
      <c r="F126" s="17">
        <v>212350</v>
      </c>
      <c r="G126" s="17">
        <v>140700</v>
      </c>
      <c r="H126" s="17">
        <v>213610</v>
      </c>
      <c r="I126" s="17">
        <v>77260</v>
      </c>
      <c r="J126" s="17">
        <v>77260</v>
      </c>
      <c r="K126" s="17">
        <v>77260</v>
      </c>
      <c r="L126" s="18">
        <f>IF(E126&gt;0,I126/E126,0)</f>
      </c>
    </row>
    <row r="127" ht="14.4" customHeight="1">
      <c r="A127" s="14" t="str">
        <v/>
      </c>
      <c r="B127" s="15" t="str">
        <v>0081 TRANSFERENCIAS DE RECURSOS A LAS MUNICIPALIDADES DE CENTRO POBLADO</v>
      </c>
      <c r="C127" s="16">
        <v>1010300</v>
      </c>
      <c r="D127" s="16">
        <v>-36000</v>
      </c>
      <c r="E127" s="16">
        <v>974300</v>
      </c>
      <c r="F127" s="17">
        <v>876780</v>
      </c>
      <c r="G127" s="17">
        <v>159030</v>
      </c>
      <c r="H127" s="17">
        <v>248535</v>
      </c>
      <c r="I127" s="17">
        <v>248535</v>
      </c>
      <c r="J127" s="17">
        <v>248535</v>
      </c>
      <c r="K127" s="17">
        <v>248535</v>
      </c>
      <c r="L127" s="18">
        <f>IF(E127&gt;0,I127/E127,0)</f>
      </c>
    </row>
    <row r="128" ht="14.4" customHeight="1">
      <c r="A128" s="14" t="str">
        <v/>
      </c>
      <c r="B128" s="15" t="str">
        <v>0082 TRANSFERENCIA FINANCIERA PARA MANTENIMIENTO RUTINARIO DE CAMINOS VECINALES</v>
      </c>
      <c r="C128" s="16">
        <v>108000</v>
      </c>
      <c r="D128" s="16">
        <v>36000</v>
      </c>
      <c r="E128" s="16">
        <v>144000</v>
      </c>
      <c r="F128" s="17">
        <v>108000</v>
      </c>
      <c r="G128" s="17">
        <v>18000</v>
      </c>
      <c r="H128" s="17">
        <v>36000</v>
      </c>
      <c r="I128" s="17">
        <v>36000</v>
      </c>
      <c r="J128" s="17">
        <v>36000</v>
      </c>
      <c r="K128" s="17">
        <v>36000</v>
      </c>
      <c r="L128" s="18">
        <f>IF(E128&gt;0,I128/E128,0)</f>
      </c>
    </row>
    <row r="129" ht="14.4" customHeight="1">
      <c r="A129" s="14" t="str">
        <v/>
      </c>
      <c r="B129" s="15" t="str">
        <v>0083 ATENCION A LAS PERSONAS CON DISCAPACIDAD MEDIANTE ACCIONES DE LA OFICINA MUNICIPAL DE ATENCION A LA PERSONA CON DISCAPACIDAD (OMAPED)</v>
      </c>
      <c r="C129" s="16">
        <v>200000</v>
      </c>
      <c r="D129" s="16">
        <v>0</v>
      </c>
      <c r="E129" s="16">
        <v>200000</v>
      </c>
      <c r="F129" s="17">
        <v>9600</v>
      </c>
      <c r="G129" s="17">
        <v>5800</v>
      </c>
      <c r="H129" s="17">
        <v>13610</v>
      </c>
      <c r="I129" s="17">
        <v>13610</v>
      </c>
      <c r="J129" s="17">
        <v>11600</v>
      </c>
      <c r="K129" s="17">
        <v>11600</v>
      </c>
      <c r="L129" s="18">
        <f>IF(E129&gt;0,I129/E129,0)</f>
      </c>
    </row>
    <row r="130" ht="14.4" customHeight="1">
      <c r="A130" s="14" t="str">
        <v/>
      </c>
      <c r="B130" s="15" t="str">
        <v>0085 CONSTRUCCION DE CEMENTERIO</v>
      </c>
      <c r="C130" s="16">
        <v>0</v>
      </c>
      <c r="D130" s="16">
        <v>293231</v>
      </c>
      <c r="E130" s="16">
        <v>293231</v>
      </c>
      <c r="F130" s="17">
        <v>10400</v>
      </c>
      <c r="G130" s="17">
        <v>10400</v>
      </c>
      <c r="H130" s="17">
        <v>10400</v>
      </c>
      <c r="I130" s="17">
        <v>111690.84</v>
      </c>
      <c r="J130" s="17">
        <v>0</v>
      </c>
      <c r="K130" s="17">
        <v>0</v>
      </c>
      <c r="L130" s="18">
        <f>IF(E130&gt;0,I130/E130,0)</f>
      </c>
    </row>
    <row r="131" ht="14.4" customHeight="1">
      <c r="A131" s="14" t="str">
        <v/>
      </c>
      <c r="B131" s="15" t="str">
        <v>0086 BRINDAR ASISTENCIA SOCIAL</v>
      </c>
      <c r="C131" s="16">
        <v>0</v>
      </c>
      <c r="D131" s="16">
        <v>86000</v>
      </c>
      <c r="E131" s="16">
        <v>86000</v>
      </c>
      <c r="F131" s="17">
        <v>25300</v>
      </c>
      <c r="G131" s="17">
        <v>20300</v>
      </c>
      <c r="H131" s="17">
        <v>30800</v>
      </c>
      <c r="I131" s="17">
        <v>30800</v>
      </c>
      <c r="J131" s="17">
        <v>30800</v>
      </c>
      <c r="K131" s="17">
        <v>30800</v>
      </c>
      <c r="L131" s="18">
        <f>IF(E131&gt;0,I131/E131,0)</f>
      </c>
    </row>
    <row r="132" ht="14.4" customHeight="1">
      <c r="A132" s="14" t="str">
        <v/>
      </c>
      <c r="B132" s="15" t="str">
        <v>0099 CONSTRUCCION Y EQUIPAMIENTO DE LOCAL MUNICIPAL</v>
      </c>
      <c r="C132" s="16">
        <v>0</v>
      </c>
      <c r="D132" s="16">
        <v>833663</v>
      </c>
      <c r="E132" s="16">
        <v>833663</v>
      </c>
      <c r="F132" s="17">
        <v>0</v>
      </c>
      <c r="G132" s="17">
        <v>0</v>
      </c>
      <c r="H132" s="17">
        <v>43087</v>
      </c>
      <c r="I132" s="17">
        <v>0</v>
      </c>
      <c r="J132" s="17">
        <v>0</v>
      </c>
      <c r="K132" s="17">
        <v>0</v>
      </c>
      <c r="L132" s="18">
        <f>IF(E132&gt;0,I132/E132,0)</f>
      </c>
    </row>
    <row r="133" ht="14.4" customHeight="1">
      <c r="A133" s="14" t="str">
        <v/>
      </c>
      <c r="B133" s="15" t="str">
        <v>0100 CONSTRUCCION Y EQUIPAMIENTO DE LOCAL COMUNAL</v>
      </c>
      <c r="C133" s="16">
        <v>0</v>
      </c>
      <c r="D133" s="16">
        <v>43088</v>
      </c>
      <c r="E133" s="16">
        <v>43088</v>
      </c>
      <c r="F133" s="17">
        <v>0</v>
      </c>
      <c r="G133" s="17">
        <v>0</v>
      </c>
      <c r="H133" s="17">
        <v>43087.7</v>
      </c>
      <c r="I133" s="17">
        <v>0</v>
      </c>
      <c r="J133" s="17">
        <v>0</v>
      </c>
      <c r="K133" s="17">
        <v>0</v>
      </c>
      <c r="L133" s="18">
        <f>IF(E133&gt;0,I133/E133,0)</f>
      </c>
    </row>
    <row r="134" ht="14.4" customHeight="1">
      <c r="A134" s="14" t="str">
        <v/>
      </c>
      <c r="B134" s="15" t="str">
        <v>0103 CREACION DEL LOCAL PARA LA MUNICIPALIDAD DELEGADA DEL CENTRO POBLADO DE HUAMANY - DISTRITO DE HUANCABAMBA - HUANCABAMBA - PIURA</v>
      </c>
      <c r="C134" s="16">
        <v>0</v>
      </c>
      <c r="D134" s="16">
        <v>88488</v>
      </c>
      <c r="E134" s="16">
        <v>88488</v>
      </c>
      <c r="F134" s="17">
        <v>0</v>
      </c>
      <c r="G134" s="17">
        <v>0</v>
      </c>
      <c r="H134" s="17">
        <v>0</v>
      </c>
      <c r="I134" s="17">
        <v>0</v>
      </c>
      <c r="J134" s="17">
        <v>0</v>
      </c>
      <c r="K134" s="17">
        <v>0</v>
      </c>
      <c r="L134" s="18">
        <f>IF(E134&gt;0,I134/E134,0)</f>
      </c>
    </row>
    <row r="135" ht="14.4" customHeight="1">
      <c r="A135" s="14" t="str">
        <v/>
      </c>
      <c r="B135" s="15" t="str">
        <v>0106 MEJORAMIENTO Y AMPLIACION DE LOS SERVICIOS DE COMERCIALIZACION DEL MERCADO DE ABASTOS DE LA LOCALIDAD EN HUANCABAMBA DEL DISTRITO DE HUANCABAMBA - HUANCABAMBA -PIURA</v>
      </c>
      <c r="C135" s="16">
        <v>0</v>
      </c>
      <c r="D135" s="16">
        <v>49670</v>
      </c>
      <c r="E135" s="16">
        <v>49670</v>
      </c>
      <c r="F135" s="17">
        <v>0</v>
      </c>
      <c r="G135" s="17">
        <v>0</v>
      </c>
      <c r="H135" s="17">
        <v>0</v>
      </c>
      <c r="I135" s="17">
        <v>0</v>
      </c>
      <c r="J135" s="17">
        <v>0</v>
      </c>
      <c r="K135" s="17">
        <v>0</v>
      </c>
      <c r="L135" s="18">
        <f>IF(E135&gt;0,I135/E135,0)</f>
      </c>
    </row>
    <row r="136" ht="14.4" customHeight="1">
      <c r="A136" s="14" t="str">
        <v/>
      </c>
      <c r="B136" s="15" t="str">
        <v>0108 CONSTRUCCION E IMPLEMENTACION DE LOCAL COMUNAL</v>
      </c>
      <c r="C136" s="16">
        <v>0</v>
      </c>
      <c r="D136" s="16">
        <v>800000</v>
      </c>
      <c r="E136" s="16">
        <v>800000</v>
      </c>
      <c r="F136" s="17">
        <v>0</v>
      </c>
      <c r="G136" s="17">
        <v>0</v>
      </c>
      <c r="H136" s="17">
        <v>0</v>
      </c>
      <c r="I136" s="17">
        <v>0</v>
      </c>
      <c r="J136" s="17">
        <v>0</v>
      </c>
      <c r="K136" s="17">
        <v>0</v>
      </c>
      <c r="L136" s="18">
        <f>IF(E136&gt;0,I136/E136,0)</f>
      </c>
    </row>
    <row r="137" ht="14.4" customHeight="1">
      <c r="A137" s="14" t="str">
        <v/>
      </c>
      <c r="B137" s="15" t="str">
        <v>0110 CONSTRUCCION Y EQUIPAMIENTO DE LOCAL MUNICIPAL</v>
      </c>
      <c r="C137" s="16">
        <v>0</v>
      </c>
      <c r="D137" s="16">
        <v>43588</v>
      </c>
      <c r="E137" s="16">
        <v>43588</v>
      </c>
      <c r="F137" s="17">
        <v>0</v>
      </c>
      <c r="G137" s="17">
        <v>0</v>
      </c>
      <c r="H137" s="17">
        <v>43547</v>
      </c>
      <c r="I137" s="17">
        <v>0</v>
      </c>
      <c r="J137" s="17">
        <v>0</v>
      </c>
      <c r="K137" s="17">
        <v>0</v>
      </c>
      <c r="L137" s="18">
        <f>IF(E137&gt;0,I137/E137,0)</f>
      </c>
    </row>
    <row r="138" ht="14.4" customHeight="1">
      <c r="A138" s="14" t="str">
        <v/>
      </c>
      <c r="B138" s="15" t="str">
        <v>0112 CONSTRUCCION DE VIAS</v>
      </c>
      <c r="C138" s="16">
        <v>0</v>
      </c>
      <c r="D138" s="16">
        <v>42500</v>
      </c>
      <c r="E138" s="16">
        <v>42500</v>
      </c>
      <c r="F138" s="17">
        <v>0</v>
      </c>
      <c r="G138" s="17">
        <v>0</v>
      </c>
      <c r="H138" s="17">
        <v>0</v>
      </c>
      <c r="I138" s="17">
        <v>0</v>
      </c>
      <c r="J138" s="17">
        <v>0</v>
      </c>
      <c r="K138" s="17">
        <v>0</v>
      </c>
      <c r="L138" s="18">
        <f>IF(E138&gt;0,I138/E138,0)</f>
      </c>
    </row>
    <row r="139" ht="14.4" customHeight="1">
      <c r="A139" s="24" t="str">
        <v/>
      </c>
      <c r="B139" s="25" t="str">
        <v>0115 TIPOLOGIA 03 - ACTIVIDAD DE INTERVENCIÓN INMEDIATA 4500000045 - PIURA - HUANCABAMBA - HUANCABAMBA</v>
      </c>
      <c r="C139" s="26">
        <v>0</v>
      </c>
      <c r="D139" s="26">
        <v>105792</v>
      </c>
      <c r="E139" s="26">
        <v>105792</v>
      </c>
      <c r="F139" s="27">
        <v>0</v>
      </c>
      <c r="G139" s="27">
        <v>0</v>
      </c>
      <c r="H139" s="27">
        <v>0</v>
      </c>
      <c r="I139" s="27">
        <v>0</v>
      </c>
      <c r="J139" s="27">
        <v>0</v>
      </c>
      <c r="K139" s="27">
        <v>0</v>
      </c>
      <c r="L139" s="28">
        <f>IF(E139&gt;0,I139/E139,0)</f>
      </c>
    </row>
    <row r="140" ht="15" customHeight="1">
      <c r="A140" s="29" t="str">
        <v/>
      </c>
      <c r="B140" s="30" t="str">
        <v>T O T A L E S</v>
      </c>
      <c r="C140" s="31">
        <f>SUBTOTAL(9,C5:C139)</f>
      </c>
      <c r="D140" s="31">
        <f>SUBTOTAL(9,D5:D139)</f>
      </c>
      <c r="E140" s="31">
        <f>SUBTOTAL(9,E5:E139)</f>
      </c>
      <c r="F140" s="32">
        <f>SUBTOTAL(9,F5:F139)</f>
      </c>
      <c r="G140" s="32">
        <f>SUBTOTAL(9,G5:G139)</f>
      </c>
      <c r="H140" s="32">
        <f>SUBTOTAL(9,H5:H139)</f>
      </c>
      <c r="I140" s="32">
        <f>SUBTOTAL(9,I5:I139)</f>
      </c>
      <c r="J140" s="32">
        <f>SUBTOTAL(9,J5:J139)</f>
      </c>
      <c r="K140" s="32">
        <f>SUBTOTAL(9,K5:K139)</f>
      </c>
      <c r="L140" s="33">
        <f>I140/E140</f>
      </c>
    </row>
  </sheetData>
  <mergeCells count="2">
    <mergeCell ref="K1:L1"/>
    <mergeCell ref="A2:L2"/>
  </mergeCells>
  <ignoredErrors>
    <ignoredError numberStoredAsText="1" sqref="A1:L1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Registros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