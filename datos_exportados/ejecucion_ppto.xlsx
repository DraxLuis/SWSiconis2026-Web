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7" x14ac:knownFonts="1">
    <font>
      <sz val="11"/>
      <name val="Calibri"/>
    </font>
    <font>
      <sz val="11"/>
      <name val="Calibri"/>
    </font>
    <font>
      <sz val="11"/>
      <name val="Arial Narrow"/>
      <color rgb="000000"/>
    </font>
    <font>
      <sz val="11"/>
      <name val="Arial Narrow"/>
      <color rgb="000000"/>
    </font>
    <font>
      <sz val="14"/>
      <name val="Arial Narrow"/>
      <b/>
      <color rgb="FFFFFF"/>
    </font>
    <font>
      <sz val="10"/>
      <name val="Arial Narrow"/>
      <color rgb="000000"/>
    </font>
    <font>
      <sz val="10"/>
      <name val="Arial Narrow"/>
      <color rgb="000000"/>
    </font>
    <font>
      <sz val="10"/>
      <name val="Arial Narrow"/>
      <color rgb="000000"/>
    </font>
    <font>
      <sz val="10"/>
      <name val="Arial Narrow"/>
      <color rgb="000000"/>
    </font>
    <font>
      <sz val="10"/>
      <name val="Arial Narrow"/>
      <color rgb="000000"/>
    </font>
    <font>
      <sz val="10"/>
      <name val="Arial Narrow"/>
      <color rgb="000000"/>
    </font>
    <font>
      <sz val="10"/>
      <name val="Arial Narrow"/>
      <color rgb="000000"/>
    </font>
    <font>
      <sz val="10"/>
      <name val="Arial Narrow"/>
      <color rgb="000000"/>
    </font>
    <font>
      <sz val="10"/>
      <name val="Arial Narrow"/>
      <color rgb="000000"/>
    </font>
    <font>
      <sz val="10"/>
      <name val="Arial Narrow"/>
      <color rgb="000000"/>
    </font>
    <font>
      <sz val="10"/>
      <name val="Arial Narrow"/>
      <color rgb="000000"/>
    </font>
    <font>
      <sz val="10"/>
      <name val="Arial Narrow"/>
      <color rgb="000000"/>
    </font>
    <font>
      <sz val="10"/>
      <name val="Arial Narrow"/>
      <color rgb="000000"/>
    </font>
    <font>
      <sz val="10"/>
      <name val="Arial Narrow"/>
      <color rgb="000000"/>
    </font>
    <font>
      <sz val="10"/>
      <name val="Arial Narrow"/>
      <color rgb="000000"/>
    </font>
    <font>
      <sz val="10"/>
      <name val="Arial Narrow"/>
      <color rgb="000000"/>
    </font>
    <font>
      <sz val="10"/>
      <name val="Arial Narrow"/>
      <color rgb="000000"/>
    </font>
    <font>
      <sz val="10"/>
      <name val="Arial Narrow"/>
      <color rgb="000000"/>
    </font>
    <font>
      <sz val="11"/>
      <name val="Arial Narrow"/>
      <b/>
      <color rgb="000000"/>
    </font>
    <font>
      <sz val="10"/>
      <name val="Arial Narrow"/>
      <color rgb="000000"/>
    </font>
    <font>
      <sz val="10"/>
      <name val="Arial Narrow"/>
      <color rgb="000000"/>
    </font>
    <font>
      <sz val="10"/>
      <name val="Arial Narrow"/>
      <color rgb="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4546A"/>
        <bgColor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medium">
        <color rgb="000000"/>
      </left>
      <right/>
      <top style="medium">
        <color rgb="000000"/>
      </top>
      <bottom style="medium">
        <color rgb="000000"/>
      </bottom>
      <diagonal/>
    </border>
    <border>
      <left/>
      <right/>
      <top style="medium">
        <color rgb="000000"/>
      </top>
      <bottom style="medium">
        <color rgb="000000"/>
      </bottom>
      <diagonal/>
    </border>
    <border>
      <left/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 style="hair">
        <color rgb="A0A0A0"/>
      </bottom>
      <diagonal/>
    </border>
    <border>
      <left/>
      <right/>
      <top style="medium">
        <color rgb="000000"/>
      </top>
      <bottom style="hair">
        <color rgb="A0A0A0"/>
      </bottom>
      <diagonal/>
    </border>
    <border>
      <left/>
      <right/>
      <top style="medium">
        <color rgb="000000"/>
      </top>
      <bottom style="hair">
        <color rgb="A0A0A0"/>
      </bottom>
      <diagonal/>
    </border>
    <border>
      <left/>
      <right/>
      <top style="medium">
        <color rgb="000000"/>
      </top>
      <bottom style="hair">
        <color rgb="A0A0A0"/>
      </bottom>
      <diagonal/>
    </border>
    <border>
      <left/>
      <right style="medium">
        <color rgb="000000"/>
      </right>
      <top style="medium">
        <color rgb="000000"/>
      </top>
      <bottom style="hair">
        <color rgb="A0A0A0"/>
      </bottom>
      <diagonal/>
    </border>
    <border>
      <left style="medium">
        <color rgb="000000"/>
      </left>
      <right/>
      <top/>
      <bottom style="hair">
        <color rgb="A0A0A0"/>
      </bottom>
      <diagonal/>
    </border>
    <border>
      <left/>
      <right/>
      <top/>
      <bottom style="hair">
        <color rgb="A0A0A0"/>
      </bottom>
      <diagonal/>
    </border>
    <border>
      <left/>
      <right/>
      <top/>
      <bottom style="hair">
        <color rgb="A0A0A0"/>
      </bottom>
      <diagonal/>
    </border>
    <border>
      <left/>
      <right/>
      <top/>
      <bottom style="hair">
        <color rgb="A0A0A0"/>
      </bottom>
      <diagonal/>
    </border>
    <border>
      <left/>
      <right style="medium">
        <color rgb="000000"/>
      </right>
      <top/>
      <bottom style="hair">
        <color rgb="A0A0A0"/>
      </bottom>
      <diagonal/>
    </border>
    <border>
      <left style="medium">
        <color rgb="000000"/>
      </left>
      <right/>
      <top style="hair">
        <color rgb="A0A0A0"/>
      </top>
      <bottom style="medium">
        <color rgb="000000"/>
      </bottom>
      <diagonal/>
    </border>
    <border>
      <left/>
      <right/>
      <top style="hair">
        <color rgb="A0A0A0"/>
      </top>
      <bottom style="medium">
        <color rgb="000000"/>
      </bottom>
      <diagonal/>
    </border>
    <border>
      <left/>
      <right/>
      <top style="hair">
        <color rgb="A0A0A0"/>
      </top>
      <bottom style="medium">
        <color rgb="000000"/>
      </bottom>
      <diagonal/>
    </border>
    <border>
      <left/>
      <right/>
      <top style="hair">
        <color rgb="A0A0A0"/>
      </top>
      <bottom style="medium">
        <color rgb="000000"/>
      </bottom>
      <diagonal/>
    </border>
    <border>
      <left/>
      <right style="medium">
        <color rgb="000000"/>
      </right>
      <top style="hair">
        <color rgb="A0A0A0"/>
      </top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 style="medium">
        <color rgb="000000"/>
      </bottom>
      <diagonal/>
    </border>
    <border>
      <left/>
      <right/>
      <top style="medium">
        <color rgb="000000"/>
      </top>
      <bottom style="medium">
        <color rgb="000000"/>
      </bottom>
      <diagonal/>
    </border>
    <border>
      <left/>
      <right/>
      <top style="medium">
        <color rgb="000000"/>
      </top>
      <bottom style="medium">
        <color rgb="000000"/>
      </bottom>
      <diagonal/>
    </border>
    <border>
      <left/>
      <right/>
      <top style="medium">
        <color rgb="000000"/>
      </top>
      <bottom style="medium">
        <color rgb="000000"/>
      </bottom>
      <diagonal/>
    </border>
    <border>
      <left/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>
    <xf numFmtId="0" fontId="0" fillId="0" borderId="0"/>
  </cellStyleXfs>
  <cellXfs count="2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22" fontId="3" fillId="0" borderId="0" xfId="0" applyFont="1" applyNumberForma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3" fontId="10" fillId="0" borderId="7" xfId="0" applyFont="1" applyBorder="1" applyNumberFormat="1" applyAlignment="1">
      <alignment horizontal="right" vertical="center"/>
    </xf>
    <xf numFmtId="4" fontId="11" fillId="0" borderId="8" xfId="0" applyFont="1" applyBorder="1" applyNumberFormat="1" applyAlignment="1">
      <alignment horizontal="right" vertical="center"/>
    </xf>
    <xf numFmtId="10" fontId="12" fillId="0" borderId="9" xfId="0" applyFont="1" applyBorder="1" applyNumberFormat="1" applyAlignment="1">
      <alignment horizontal="right" vertical="center"/>
    </xf>
    <xf numFmtId="0" fontId="13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left" vertical="center"/>
    </xf>
    <xf numFmtId="3" fontId="15" fillId="0" borderId="12" xfId="0" applyFont="1" applyBorder="1" applyNumberFormat="1" applyAlignment="1">
      <alignment horizontal="right" vertical="center"/>
    </xf>
    <xf numFmtId="4" fontId="16" fillId="0" borderId="13" xfId="0" applyFont="1" applyBorder="1" applyNumberFormat="1" applyAlignment="1">
      <alignment horizontal="right" vertical="center"/>
    </xf>
    <xf numFmtId="10" fontId="17" fillId="0" borderId="14" xfId="0" applyFont="1" applyBorder="1" applyNumberFormat="1" applyAlignment="1">
      <alignment horizontal="right" vertical="center"/>
    </xf>
    <xf numFmtId="0" fontId="18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left" vertical="center"/>
    </xf>
    <xf numFmtId="3" fontId="20" fillId="0" borderId="17" xfId="0" applyFont="1" applyBorder="1" applyNumberFormat="1" applyAlignment="1">
      <alignment horizontal="right" vertical="center"/>
    </xf>
    <xf numFmtId="4" fontId="21" fillId="0" borderId="18" xfId="0" applyFont="1" applyBorder="1" applyNumberFormat="1" applyAlignment="1">
      <alignment horizontal="right" vertical="center"/>
    </xf>
    <xf numFmtId="10" fontId="22" fillId="0" borderId="19" xfId="0" applyFont="1" applyBorder="1" applyNumberFormat="1" applyAlignment="1">
      <alignment horizontal="right" vertical="center"/>
    </xf>
    <xf numFmtId="0" fontId="0" fillId="0" borderId="20" xfId="0" applyBorder="1"/>
    <xf numFmtId="0" fontId="23" fillId="0" borderId="21" xfId="0" applyFont="1" applyBorder="1" applyAlignment="1">
      <alignment horizontal="center" vertical="center"/>
    </xf>
    <xf numFmtId="3" fontId="24" fillId="0" borderId="22" xfId="0" applyFont="1" applyBorder="1" applyNumberFormat="1" applyAlignment="1">
      <alignment horizontal="right" vertical="center"/>
    </xf>
    <xf numFmtId="4" fontId="25" fillId="0" borderId="23" xfId="0" applyFont="1" applyBorder="1" applyNumberFormat="1" applyAlignment="1">
      <alignment horizontal="right" vertical="center"/>
    </xf>
    <xf numFmtId="10" fontId="26" fillId="0" borderId="24" xfId="0" applyFont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cols>
    <col min="1" max="1" width="7.1640625" customWidth="1"/>
    <col min="2" max="2" width="65.94140625" customWidth="1"/>
    <col min="3" max="3" width="12.2734375" customWidth="1"/>
    <col min="4" max="4" width="12.2734375" customWidth="1"/>
    <col min="5" max="5" width="12.2734375" customWidth="1"/>
    <col min="6" max="6" width="12.2734375" customWidth="1"/>
    <col min="7" max="7" width="14.94140625" customWidth="1"/>
    <col min="8" max="8" width="14.83203125" customWidth="1"/>
    <col min="9" max="9" width="12.2734375" customWidth="1"/>
    <col min="10" max="10" width="12.2734375" customWidth="1"/>
    <col min="11" max="11" width="12.2734375" customWidth="1"/>
    <col min="12" max="12" width="7.72265625" customWidth="1"/>
  </cols>
  <sheetData>
    <row r="1" ht="14.4" customHeight="1">
      <c r="A1" s="3" t="str">
        <v>301548 MUNICIPALIDAD PROVINCIAL DE HUANCABAMBA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4">
        <f>NOW()</f>
      </c>
      <c r="L1" s="2" t="str">
        <v/>
      </c>
    </row>
    <row r="2" ht="22.5" customHeight="1">
      <c r="A2" s="5" t="str">
        <v>Ejecución Presupuestal  - Programa Presupuestal</v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  <c r="I2" s="5" t="str">
        <v/>
      </c>
      <c r="J2" s="5" t="str">
        <v/>
      </c>
      <c r="K2" s="5" t="str">
        <v/>
      </c>
      <c r="L2" s="5" t="str">
        <v/>
      </c>
    </row>
    <row r="3" ht="14.4" customHeight="1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</row>
    <row r="4" ht="15" customHeight="1">
      <c r="A4" s="6" t="str">
        <v>Codigo</v>
      </c>
      <c r="B4" s="7" t="str">
        <v>Nombre Ppto</v>
      </c>
      <c r="C4" s="7" t="str">
        <v>Pia</v>
      </c>
      <c r="D4" s="7" t="str">
        <v>Mod</v>
      </c>
      <c r="E4" s="7" t="str">
        <v>Pím</v>
      </c>
      <c r="F4" s="7" t="str">
        <v>Certicado</v>
      </c>
      <c r="G4" s="7" t="str">
        <v>CompromisoA</v>
      </c>
      <c r="H4" s="7" t="str">
        <v>CompromisoM</v>
      </c>
      <c r="I4" s="7" t="str">
        <v>Devengado</v>
      </c>
      <c r="J4" s="7" t="str">
        <v>Girado</v>
      </c>
      <c r="K4" s="7" t="str">
        <v>Saldo</v>
      </c>
      <c r="L4" s="8" t="str">
        <v>Avan</v>
      </c>
    </row>
    <row r="5" ht="14.4" customHeight="1">
      <c r="A5" s="9" t="str">
        <v>0016</v>
      </c>
      <c r="B5" s="10" t="str">
        <v>TBC-VIH/SIDA</v>
      </c>
      <c r="C5" s="11">
        <v>52622</v>
      </c>
      <c r="D5" s="11">
        <v>0</v>
      </c>
      <c r="E5" s="11">
        <v>52622</v>
      </c>
      <c r="F5" s="12">
        <v>52621.99</v>
      </c>
      <c r="G5" s="12">
        <v>0</v>
      </c>
      <c r="H5" s="12">
        <v>0</v>
      </c>
      <c r="I5" s="12">
        <v>0</v>
      </c>
      <c r="J5" s="12">
        <v>0</v>
      </c>
      <c r="K5" s="12">
        <v>52622</v>
      </c>
      <c r="L5" s="13">
        <v>0</v>
      </c>
    </row>
    <row r="6" ht="14.4" customHeight="1">
      <c r="A6" s="14" t="str">
        <v>0030</v>
      </c>
      <c r="B6" s="15" t="str">
        <v>REDUCCION DE DELITOS Y FALTAS QUE AFECTAN LA SEGURIDAD CIUDADANA</v>
      </c>
      <c r="C6" s="16">
        <v>777153</v>
      </c>
      <c r="D6" s="16">
        <v>136600</v>
      </c>
      <c r="E6" s="16">
        <v>913753</v>
      </c>
      <c r="F6" s="17">
        <v>391734.03</v>
      </c>
      <c r="G6" s="17">
        <v>110333.99</v>
      </c>
      <c r="H6" s="17">
        <v>234514.05</v>
      </c>
      <c r="I6" s="17">
        <v>221014.05</v>
      </c>
      <c r="J6" s="17">
        <v>189584.51</v>
      </c>
      <c r="K6" s="17">
        <v>692738.95</v>
      </c>
      <c r="L6" s="18">
        <v>0.24187504719546749</v>
      </c>
    </row>
    <row r="7" ht="14.4" customHeight="1">
      <c r="A7" s="14" t="str">
        <v>0036</v>
      </c>
      <c r="B7" s="15" t="str">
        <v>GESTION INTEGRAL DE RESIDUOS SOLIDOS</v>
      </c>
      <c r="C7" s="16">
        <v>1911962</v>
      </c>
      <c r="D7" s="16">
        <v>-34110</v>
      </c>
      <c r="E7" s="16">
        <v>1877852</v>
      </c>
      <c r="F7" s="17">
        <v>192655</v>
      </c>
      <c r="G7" s="17">
        <v>192651</v>
      </c>
      <c r="H7" s="17">
        <v>347855</v>
      </c>
      <c r="I7" s="17">
        <v>347855</v>
      </c>
      <c r="J7" s="17">
        <v>309487</v>
      </c>
      <c r="K7" s="17">
        <v>1529997</v>
      </c>
      <c r="L7" s="18">
        <v>0.18524090290395623</v>
      </c>
    </row>
    <row r="8" ht="14.4" customHeight="1">
      <c r="A8" s="14" t="str">
        <v>0039</v>
      </c>
      <c r="B8" s="15" t="str">
        <v>MEJORA DE LA SANIDAD ANIMAL</v>
      </c>
      <c r="C8" s="16">
        <v>155043</v>
      </c>
      <c r="D8" s="16">
        <v>-19180</v>
      </c>
      <c r="E8" s="16">
        <v>135863</v>
      </c>
      <c r="F8" s="17">
        <v>10961</v>
      </c>
      <c r="G8" s="17">
        <v>10961</v>
      </c>
      <c r="H8" s="17">
        <v>45130</v>
      </c>
      <c r="I8" s="17">
        <v>45130</v>
      </c>
      <c r="J8" s="17">
        <v>45130</v>
      </c>
      <c r="K8" s="17">
        <v>90733</v>
      </c>
      <c r="L8" s="18">
        <v>0.33217285059214063</v>
      </c>
    </row>
    <row r="9" ht="14.4" customHeight="1">
      <c r="A9" s="14" t="str">
        <v>0040</v>
      </c>
      <c r="B9" s="15" t="str">
        <v>MEJORA Y MANTENIMIENTO DE LA SANIDAD VEGETAL</v>
      </c>
      <c r="C9" s="16">
        <v>1230123</v>
      </c>
      <c r="D9" s="16">
        <v>69634</v>
      </c>
      <c r="E9" s="16">
        <v>1299757</v>
      </c>
      <c r="F9" s="17">
        <v>125394</v>
      </c>
      <c r="G9" s="17">
        <v>125394</v>
      </c>
      <c r="H9" s="17">
        <v>133132</v>
      </c>
      <c r="I9" s="17">
        <v>73200</v>
      </c>
      <c r="J9" s="17">
        <v>42200</v>
      </c>
      <c r="K9" s="17">
        <v>1226557</v>
      </c>
      <c r="L9" s="18">
        <v>0.05631821948256482</v>
      </c>
    </row>
    <row r="10" ht="14.4" customHeight="1">
      <c r="A10" s="14" t="str">
        <v>0042</v>
      </c>
      <c r="B10" s="15" t="str">
        <v>APROVECHAMIENTO DE LOS RECURSOS HIDRICOS PARA USO AGRARIO</v>
      </c>
      <c r="C10" s="16">
        <v>15666367</v>
      </c>
      <c r="D10" s="16">
        <v>0</v>
      </c>
      <c r="E10" s="16">
        <v>15666367</v>
      </c>
      <c r="F10" s="17">
        <v>15666367</v>
      </c>
      <c r="G10" s="17">
        <v>0</v>
      </c>
      <c r="H10" s="17">
        <v>0</v>
      </c>
      <c r="I10" s="17">
        <v>0</v>
      </c>
      <c r="J10" s="17">
        <v>0</v>
      </c>
      <c r="K10" s="17">
        <v>15666367</v>
      </c>
      <c r="L10" s="18">
        <v>0</v>
      </c>
    </row>
    <row r="11" ht="14.4" customHeight="1">
      <c r="A11" s="14" t="str">
        <v>0068</v>
      </c>
      <c r="B11" s="15" t="str">
        <v>REDUCCION DE VULNERABILIDAD Y ATENCION DE EMERGENCIAS POR DESASTRES</v>
      </c>
      <c r="C11" s="16">
        <v>101221</v>
      </c>
      <c r="D11" s="16">
        <v>704725</v>
      </c>
      <c r="E11" s="16">
        <v>805946</v>
      </c>
      <c r="F11" s="17">
        <v>554716.58</v>
      </c>
      <c r="G11" s="17">
        <v>554716.58</v>
      </c>
      <c r="H11" s="17">
        <v>651056.58</v>
      </c>
      <c r="I11" s="17">
        <v>551141.58</v>
      </c>
      <c r="J11" s="17">
        <v>314629.06</v>
      </c>
      <c r="K11" s="17">
        <v>254804.42000000004</v>
      </c>
      <c r="L11" s="18">
        <v>0.6838443022237222</v>
      </c>
    </row>
    <row r="12" ht="14.4" customHeight="1">
      <c r="A12" s="14" t="str">
        <v>0083</v>
      </c>
      <c r="B12" s="15" t="str">
        <v>PROGRAMA NACIONAL DE SANEAMIENTO RURAL</v>
      </c>
      <c r="C12" s="16">
        <v>9129726</v>
      </c>
      <c r="D12" s="16">
        <v>1368364</v>
      </c>
      <c r="E12" s="16">
        <v>10498090</v>
      </c>
      <c r="F12" s="17">
        <v>3091735.8</v>
      </c>
      <c r="G12" s="17">
        <v>2241205</v>
      </c>
      <c r="H12" s="17">
        <v>735728.14</v>
      </c>
      <c r="I12" s="17">
        <v>649528.14</v>
      </c>
      <c r="J12" s="17">
        <v>118646</v>
      </c>
      <c r="K12" s="17">
        <v>9848561.86</v>
      </c>
      <c r="L12" s="18">
        <v>0.061871077500764426</v>
      </c>
    </row>
    <row r="13" ht="14.4" customHeight="1">
      <c r="A13" s="14" t="str">
        <v>0087</v>
      </c>
      <c r="B13" s="15" t="str">
        <v>INCREMENTO DE LA COMPETIVIDAD DEL SECTOR ARTESANIA</v>
      </c>
      <c r="C13" s="16">
        <v>30000</v>
      </c>
      <c r="D13" s="16">
        <v>0</v>
      </c>
      <c r="E13" s="16">
        <v>30000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30000</v>
      </c>
      <c r="L13" s="18">
        <v>0</v>
      </c>
    </row>
    <row r="14" ht="14.4" customHeight="1">
      <c r="A14" s="14" t="str">
        <v>0090</v>
      </c>
      <c r="B14" s="15" t="str">
        <v>LOGROS DE APRENDIZAJE DE ESTUDIANTES DE LA EDUCACION BASICA REGULAR</v>
      </c>
      <c r="C14" s="16">
        <v>0</v>
      </c>
      <c r="D14" s="16">
        <v>48291</v>
      </c>
      <c r="E14" s="16">
        <v>48291</v>
      </c>
      <c r="F14" s="17">
        <v>0</v>
      </c>
      <c r="G14" s="17">
        <v>0</v>
      </c>
      <c r="H14" s="17">
        <v>4391</v>
      </c>
      <c r="I14" s="17">
        <v>4391</v>
      </c>
      <c r="J14" s="17">
        <v>0</v>
      </c>
      <c r="K14" s="17">
        <v>43900</v>
      </c>
      <c r="L14" s="18">
        <v>0.0909279161748566</v>
      </c>
    </row>
    <row r="15" ht="14.4" customHeight="1">
      <c r="A15" s="14" t="str">
        <v>0101</v>
      </c>
      <c r="B15" s="15" t="str">
        <v>INCREMENTO DE LA PRACTICA DE ACTIVIDADES FISICAS, DEPORTIVAS Y RECREATIVAS</v>
      </c>
      <c r="C15" s="16">
        <v>0</v>
      </c>
      <c r="D15" s="16">
        <v>2428650</v>
      </c>
      <c r="E15" s="16">
        <v>2428650</v>
      </c>
      <c r="F15" s="17">
        <v>1346194.65</v>
      </c>
      <c r="G15" s="17">
        <v>0</v>
      </c>
      <c r="H15" s="17">
        <v>145788.6</v>
      </c>
      <c r="I15" s="17">
        <v>0</v>
      </c>
      <c r="J15" s="17">
        <v>0</v>
      </c>
      <c r="K15" s="17">
        <v>2428650</v>
      </c>
      <c r="L15" s="18">
        <v>0</v>
      </c>
    </row>
    <row r="16" ht="14.4" customHeight="1">
      <c r="A16" s="14" t="str">
        <v>0117</v>
      </c>
      <c r="B16" s="15" t="str">
        <v>ATENCION OPORTUNA DE NIÑAS, NIÑOS Y ADOLESCENTES EN PRESUNTO ESTADO DE ABAN</v>
      </c>
      <c r="C16" s="16">
        <v>7770</v>
      </c>
      <c r="D16" s="16">
        <v>0</v>
      </c>
      <c r="E16" s="16">
        <v>7770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7770</v>
      </c>
      <c r="L16" s="18">
        <v>0</v>
      </c>
    </row>
    <row r="17" ht="14.4" customHeight="1">
      <c r="A17" s="14" t="str">
        <v>0121</v>
      </c>
      <c r="B17" s="15" t="str">
        <v>MEJORA DE LA ARTICULACION DE PEQUEÑOS PRODUCTORES AL MERCADO</v>
      </c>
      <c r="C17" s="16">
        <v>1606693</v>
      </c>
      <c r="D17" s="16">
        <v>-1556693</v>
      </c>
      <c r="E17" s="16">
        <v>50000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50000</v>
      </c>
      <c r="L17" s="18">
        <v>0</v>
      </c>
    </row>
    <row r="18" ht="14.4" customHeight="1">
      <c r="A18" s="14" t="str">
        <v>0127</v>
      </c>
      <c r="B18" s="15" t="str">
        <v>MEJORA DE LA COMPETITIVIDAD DE LOS DESTINOS TURISTICOS</v>
      </c>
      <c r="C18" s="16">
        <v>119850</v>
      </c>
      <c r="D18" s="16">
        <v>0</v>
      </c>
      <c r="E18" s="16">
        <v>119850</v>
      </c>
      <c r="F18" s="17">
        <v>26238.61</v>
      </c>
      <c r="G18" s="17">
        <v>24238.61</v>
      </c>
      <c r="H18" s="17">
        <v>62475</v>
      </c>
      <c r="I18" s="17">
        <v>34813.61</v>
      </c>
      <c r="J18" s="17">
        <v>32111.61</v>
      </c>
      <c r="K18" s="17">
        <v>85036.39</v>
      </c>
      <c r="L18" s="18">
        <v>0.29047651230705046</v>
      </c>
    </row>
    <row r="19" ht="14.4" customHeight="1">
      <c r="A19" s="14" t="str">
        <v>0130</v>
      </c>
      <c r="B19" s="15" t="str">
        <v>COMPETITIVIDAD Y APROVECHAMIENTO SOSTENIBLE DE LOS RECURSOS FORESTALES Y DE</v>
      </c>
      <c r="C19" s="16">
        <v>612534</v>
      </c>
      <c r="D19" s="16">
        <v>0</v>
      </c>
      <c r="E19" s="16">
        <v>612534</v>
      </c>
      <c r="F19" s="17">
        <v>23144</v>
      </c>
      <c r="G19" s="17">
        <v>23144</v>
      </c>
      <c r="H19" s="17">
        <v>50144</v>
      </c>
      <c r="I19" s="17">
        <v>46344</v>
      </c>
      <c r="J19" s="17">
        <v>46344</v>
      </c>
      <c r="K19" s="17">
        <v>566190</v>
      </c>
      <c r="L19" s="18">
        <v>0.0756594735965677</v>
      </c>
    </row>
    <row r="20" ht="14.4" customHeight="1">
      <c r="A20" s="14" t="str">
        <v>0138</v>
      </c>
      <c r="B20" s="15" t="str">
        <v>REDUCCION DEL COSTO, TIEMPO E INSEGURIDAD EN EL SISTEMA DE TRANSPORTE</v>
      </c>
      <c r="C20" s="16">
        <v>2359068</v>
      </c>
      <c r="D20" s="16">
        <v>1175417</v>
      </c>
      <c r="E20" s="16">
        <v>3534485</v>
      </c>
      <c r="F20" s="17">
        <v>1070943</v>
      </c>
      <c r="G20" s="17">
        <v>739794</v>
      </c>
      <c r="H20" s="17">
        <v>594227</v>
      </c>
      <c r="I20" s="17">
        <v>420441.19</v>
      </c>
      <c r="J20" s="17">
        <v>402192.92</v>
      </c>
      <c r="K20" s="17">
        <v>3114043.81</v>
      </c>
      <c r="L20" s="18">
        <v>0.1189540173462329</v>
      </c>
    </row>
    <row r="21" ht="14.4" customHeight="1">
      <c r="A21" s="14" t="str">
        <v>0144</v>
      </c>
      <c r="B21" s="15" t="str">
        <v>CONSERVACION Y USO SOSTENIBLE DE ECOSISTEMAS PARA LA PROVISION DE SERVICIOS</v>
      </c>
      <c r="C21" s="16">
        <v>0</v>
      </c>
      <c r="D21" s="16">
        <v>10000</v>
      </c>
      <c r="E21" s="16">
        <v>10000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10000</v>
      </c>
      <c r="L21" s="18">
        <v>0</v>
      </c>
    </row>
    <row r="22" ht="14.4" customHeight="1">
      <c r="A22" s="14" t="str">
        <v>0148</v>
      </c>
      <c r="B22" s="15" t="str">
        <v>REDUCCION DEL TIEMPO, INSEGURIDAD Y COSTO AMBIENTAL EN EL TRANSPORTE URBANO</v>
      </c>
      <c r="C22" s="16">
        <v>0</v>
      </c>
      <c r="D22" s="16">
        <v>3766267</v>
      </c>
      <c r="E22" s="16">
        <v>3766267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3766267</v>
      </c>
      <c r="L22" s="18">
        <v>0</v>
      </c>
    </row>
    <row r="23" ht="14.4" customHeight="1">
      <c r="A23" s="14" t="str">
        <v>1001</v>
      </c>
      <c r="B23" s="15" t="str">
        <v>PRODUCTOS ESPECIFICOS PARA DESARROLLO INFANTIL TEMPRANO</v>
      </c>
      <c r="C23" s="16">
        <v>247675</v>
      </c>
      <c r="D23" s="16">
        <v>0</v>
      </c>
      <c r="E23" s="16">
        <v>247675</v>
      </c>
      <c r="F23" s="17">
        <v>144384</v>
      </c>
      <c r="G23" s="17">
        <v>0</v>
      </c>
      <c r="H23" s="17">
        <v>0</v>
      </c>
      <c r="I23" s="17">
        <v>0</v>
      </c>
      <c r="J23" s="17">
        <v>0</v>
      </c>
      <c r="K23" s="17">
        <v>247675</v>
      </c>
      <c r="L23" s="18">
        <v>0</v>
      </c>
    </row>
    <row r="24" ht="14.4" customHeight="1">
      <c r="A24" s="14" t="str">
        <v>9001</v>
      </c>
      <c r="B24" s="15" t="str">
        <v>ACCIONES CENTRALES</v>
      </c>
      <c r="C24" s="16">
        <v>23188482</v>
      </c>
      <c r="D24" s="16">
        <v>-397032</v>
      </c>
      <c r="E24" s="16">
        <v>22791450</v>
      </c>
      <c r="F24" s="17">
        <v>8377329.31</v>
      </c>
      <c r="G24" s="17">
        <v>3156598.39</v>
      </c>
      <c r="H24" s="17">
        <v>5168055.87</v>
      </c>
      <c r="I24" s="17">
        <v>4568711.26</v>
      </c>
      <c r="J24" s="17">
        <v>4344316.49</v>
      </c>
      <c r="K24" s="17">
        <v>18222738.740000002</v>
      </c>
      <c r="L24" s="18">
        <v>0.20045724427362013</v>
      </c>
    </row>
    <row r="25" ht="14.4" customHeight="1">
      <c r="A25" s="19" t="str">
        <v>9002</v>
      </c>
      <c r="B25" s="20" t="str">
        <v>ASIGNACIONES PRESUPUESTARIAS QUE NO RESULTAN EN PRODUCTOS</v>
      </c>
      <c r="C25" s="21">
        <v>9261219</v>
      </c>
      <c r="D25" s="21">
        <v>1103161</v>
      </c>
      <c r="E25" s="21">
        <v>10364380</v>
      </c>
      <c r="F25" s="22">
        <v>3702622.36</v>
      </c>
      <c r="G25" s="22">
        <v>1378255.07</v>
      </c>
      <c r="H25" s="22">
        <v>2005161.94</v>
      </c>
      <c r="I25" s="22">
        <v>1603854.08</v>
      </c>
      <c r="J25" s="22">
        <v>1283328.79</v>
      </c>
      <c r="K25" s="22">
        <v>8760525.92</v>
      </c>
      <c r="L25" s="23">
        <v>0.15474674606681732</v>
      </c>
    </row>
    <row r="26" ht="15" customHeight="1">
      <c r="A26" s="24" t="str">
        <v/>
      </c>
      <c r="B26" s="25" t="str">
        <v>T O T A L E S</v>
      </c>
      <c r="C26" s="26">
        <f>SUBTOTAL(9,C5:C25)</f>
      </c>
      <c r="D26" s="26">
        <f>SUBTOTAL(9,D5:D25)</f>
      </c>
      <c r="E26" s="26">
        <f>SUBTOTAL(9,E5:E25)</f>
      </c>
      <c r="F26" s="27">
        <f>SUBTOTAL(9,F5:F25)</f>
      </c>
      <c r="G26" s="27">
        <f>SUBTOTAL(9,G5:G25)</f>
      </c>
      <c r="H26" s="27">
        <f>SUBTOTAL(9,H5:H25)</f>
      </c>
      <c r="I26" s="27">
        <f>SUBTOTAL(9,I5:I25)</f>
      </c>
      <c r="J26" s="27">
        <f>SUBTOTAL(9,J5:J25)</f>
      </c>
      <c r="K26" s="27">
        <f>SUBTOTAL(9,K5:K25)</f>
      </c>
      <c r="L26" s="28">
        <f>I26/E26</f>
      </c>
    </row>
  </sheetData>
  <mergeCells count="2">
    <mergeCell ref="K1:L1"/>
    <mergeCell ref="A2:L2"/>
  </mergeCells>
  <ignoredErrors>
    <ignoredError numberStoredAsText="1" sqref="A1:L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